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Aggregated Dataset" sheetId="2" r:id="rId5"/>
    <sheet state="visible" name="Solutions" sheetId="3" r:id="rId6"/>
    <sheet state="visible" name="Growth Scenario Analysis" sheetId="4" r:id="rId7"/>
    <sheet state="visible" name="Conservative Scenario Analysis" sheetId="5" r:id="rId8"/>
    <sheet state="visible" name="Downturn Scenario Analysis" sheetId="6" r:id="rId9"/>
    <sheet state="visible" name="What If-Best Case Scenario" sheetId="7" r:id="rId10"/>
    <sheet state="visible" name="What If- Expected Case Scenario" sheetId="8" r:id="rId11"/>
    <sheet state="visible" name="What If- Worst Case Scenario" sheetId="9" r:id="rId12"/>
    <sheet state="visible" name="Pivot Table 1" sheetId="10" r:id="rId13"/>
  </sheets>
  <definedNames>
    <definedName hidden="1" localSheetId="0" name="_xlnm._FilterDatabase">Dataset!$A$1:$G$201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<sst xmlns="http://schemas.openxmlformats.org/spreadsheetml/2006/main" count="5039" uniqueCount="111">
  <si>
    <t>City</t>
  </si>
  <si>
    <t>Month</t>
  </si>
  <si>
    <t>Product_Category</t>
  </si>
  <si>
    <t>Units_Sold</t>
  </si>
  <si>
    <t>Unit_Price</t>
  </si>
  <si>
    <t>Total_Sales</t>
  </si>
  <si>
    <t>Customer_Count</t>
  </si>
  <si>
    <t>Hyderabad</t>
  </si>
  <si>
    <t>Apr</t>
  </si>
  <si>
    <t>Smartphones</t>
  </si>
  <si>
    <t>Bangalore</t>
  </si>
  <si>
    <t>Jul</t>
  </si>
  <si>
    <t>Tablets</t>
  </si>
  <si>
    <t>Ahmedabad</t>
  </si>
  <si>
    <t>Aug</t>
  </si>
  <si>
    <t>Delhi</t>
  </si>
  <si>
    <t>Dec</t>
  </si>
  <si>
    <t>Kolkata</t>
  </si>
  <si>
    <t>May</t>
  </si>
  <si>
    <t>Chennai</t>
  </si>
  <si>
    <t>Mumbai</t>
  </si>
  <si>
    <t>Laptops</t>
  </si>
  <si>
    <t>Jun</t>
  </si>
  <si>
    <t>Oct</t>
  </si>
  <si>
    <t>Surat</t>
  </si>
  <si>
    <t>Sep</t>
  </si>
  <si>
    <t>Pune</t>
  </si>
  <si>
    <t>Accessories</t>
  </si>
  <si>
    <t>Mar</t>
  </si>
  <si>
    <t>Nov</t>
  </si>
  <si>
    <t>Jaipur</t>
  </si>
  <si>
    <t>Jan</t>
  </si>
  <si>
    <t>Feb</t>
  </si>
  <si>
    <t>Variable_Cost_Per_Unit</t>
  </si>
  <si>
    <t>Contribution_Margin</t>
  </si>
  <si>
    <t>PART A</t>
  </si>
  <si>
    <t>Assumption: We assume that the Variable Cost for all products is 60% of the original Unit Price across all categories and cities. This implies a standard Gross Margin of 40%</t>
  </si>
  <si>
    <t>Revenues</t>
  </si>
  <si>
    <t>Contribution Margin</t>
  </si>
  <si>
    <t>Product</t>
  </si>
  <si>
    <t>Average Price per Product</t>
  </si>
  <si>
    <t>Avg Units Sold per Customer</t>
  </si>
  <si>
    <t>PART B</t>
  </si>
  <si>
    <t>For What If Analysis:</t>
  </si>
  <si>
    <t>Scenario</t>
  </si>
  <si>
    <t>Volume Uplift (Change in Units Sold)</t>
  </si>
  <si>
    <t>Metric</t>
  </si>
  <si>
    <t>Original Totals</t>
  </si>
  <si>
    <t xml:space="preserve">Best-Case </t>
  </si>
  <si>
    <t xml:space="preserve">Expected-Case </t>
  </si>
  <si>
    <t xml:space="preserve">Worst-Case </t>
  </si>
  <si>
    <t>Best-Case</t>
  </si>
  <si>
    <t>Increase in 25% 
(Multiplier: 1.25)</t>
  </si>
  <si>
    <t>Total Sales Revenue</t>
  </si>
  <si>
    <t>Expected-Case</t>
  </si>
  <si>
    <t>Increase in 10% 
(Multiplier: 1.10)</t>
  </si>
  <si>
    <t>Total Cont. Margin</t>
  </si>
  <si>
    <t>Worst-Case</t>
  </si>
  <si>
    <t>0% 
(Multiplier: 1.00)</t>
  </si>
  <si>
    <t>Impact Measure</t>
  </si>
  <si>
    <t>Best-Case Impact</t>
  </si>
  <si>
    <t>Expected-Case Impact</t>
  </si>
  <si>
    <t>Worst-Case Impact</t>
  </si>
  <si>
    <t>Change in Sales Revenue</t>
  </si>
  <si>
    <t>Change in Cont. Margin</t>
  </si>
  <si>
    <t>Volume Assumption</t>
  </si>
  <si>
    <t>Best Case</t>
  </si>
  <si>
    <t>(+25%)</t>
  </si>
  <si>
    <t>Expected Case</t>
  </si>
  <si>
    <t>(+10%)</t>
  </si>
  <si>
    <t>Worst Case</t>
  </si>
  <si>
    <r>
      <rPr>
        <rFont val="Times New Roman"/>
        <b/>
        <color theme="1"/>
      </rPr>
      <t xml:space="preserve">Interpretation and Conclusion:
</t>
    </r>
    <r>
      <rPr>
        <rFont val="Times New Roman"/>
        <color theme="1"/>
      </rPr>
      <t xml:space="preserve">
1. Financial Failure: Based on my calculations, the 10% discount campaign is financially unsuccessful under all three volume scenarios.
2. Best-Case Profit Loss: Even with the most optimistic 25% volume increase, the campaign generates higher revenue (a gain of Rs. 1.08Cr) but still results in a Rs. 21.57L loss in Contribution Margin (profit). This occurs because the price cut (0.90) is too deep relative to the assumed 60% variable cost, meaning the price cut destroys the margin faster than the volume can recover it.
3.Worst-Case Risk: The maximum downside is a loss of Rs. 86.26L in CM, highlighting the significant financial risk if the promotional volume is flat.</t>
    </r>
  </si>
  <si>
    <t>PART C</t>
  </si>
  <si>
    <t>Change in Volume (Units Sold)</t>
  </si>
  <si>
    <t>Change in Price (Unit Price)</t>
  </si>
  <si>
    <t>Change in Cost (Variable Cost)</t>
  </si>
  <si>
    <t>Growth</t>
  </si>
  <si>
    <t>(+20%)
(Multiplier: 1.20)</t>
  </si>
  <si>
    <t>(+5%)
(Multiplier: 1.05)</t>
  </si>
  <si>
    <t>(0%)
 (Multiplier: 1.00)</t>
  </si>
  <si>
    <t>Conservative</t>
  </si>
  <si>
    <t>(0%) 
(Multiplier: 1.00)</t>
  </si>
  <si>
    <t>(0%)
(Multiplier: 1.00)</t>
  </si>
  <si>
    <t>Downturn</t>
  </si>
  <si>
    <t>(-15%) 
(Multiplier: 0.85)</t>
  </si>
  <si>
    <t>(-10%) 
(Multiplier: 0.90)</t>
  </si>
  <si>
    <t>Growth Scenario</t>
  </si>
  <si>
    <t>Conservative Scenario</t>
  </si>
  <si>
    <t>Downturn Scenario</t>
  </si>
  <si>
    <t>(+20%)</t>
  </si>
  <si>
    <t>(+5%)</t>
  </si>
  <si>
    <t xml:space="preserve">(-15%) </t>
  </si>
  <si>
    <t>(-10%)</t>
  </si>
  <si>
    <r>
      <rPr>
        <rFont val="Times New Roman"/>
        <b/>
        <color theme="1"/>
      </rPr>
      <t>Interpretation and Conclusion:</t>
    </r>
    <r>
      <rPr>
        <rFont val="Times New Roman"/>
        <color theme="1"/>
      </rPr>
      <t xml:space="preserve">
Growth Scenario:
Revenue Uplift: Rs. 16.54 Cr (approx. 26% increase).
CM Uplift: Rs. 8.90 Cr (approx. 34.8% increase).
Conclusion: This is the ideal outcome. The higher percentage growth in CM compared to Revenue shows that the price increase (*1.05) combined with the volume increase (*1.20) significantly expands the profit margin, demonstrating strong leverage in a booming market.
Conservative Scenario:
Conclusion: This acts as the baseline for no change. It shows that if FreshKart does nothing to expand or contract, their financial performance remains significantly stable.
Downturn Scenario:
Revenue Decline: Rs. 14.95 Cr (approx. 24% drop).
CM Decline: Rs. 10.84 Cr (approx. 42.7% drop).
Conclusion: This is the highest risk scenario. The CM drops significantly more than the revenue. This dramatic loss in profitability is due to the triple negative impact: lower volume, lower price, and increased costs. This scenario necessitates immediate cost-cutting measures and strategic risk mitigation.
</t>
    </r>
  </si>
  <si>
    <t>Units_Growth</t>
  </si>
  <si>
    <t>Price_Growth</t>
  </si>
  <si>
    <t>Cost_Growth</t>
  </si>
  <si>
    <t>Sales_Growth</t>
  </si>
  <si>
    <t>CM_Growth</t>
  </si>
  <si>
    <t>New_Unit_Sold</t>
  </si>
  <si>
    <t>New_Unit_Price</t>
  </si>
  <si>
    <t>New_Total_Sales</t>
  </si>
  <si>
    <t>New_Contribution_Margin</t>
  </si>
  <si>
    <t>Monthly Trend</t>
  </si>
  <si>
    <t>SUM of Total_Sales</t>
  </si>
  <si>
    <t>SUM of Contribution_Margin</t>
  </si>
  <si>
    <t>Grand Total</t>
  </si>
  <si>
    <t>Top Locations</t>
  </si>
  <si>
    <t>SUM of Customer_Count</t>
  </si>
  <si>
    <t>Product Performance</t>
  </si>
  <si>
    <t>SUM of Units_Sold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</si>
</sst>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-&quot;mmm&quot;-&quot;"/>
  </numFmts>
  <fonts count="1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Times New Roman"/>
    </font>
    <font>
      <b/>
      <sz val="14.0"/>
      <color rgb="FFFFFFFF"/>
      <name val="Times New Roman"/>
    </font>
    <font>
      <color theme="1"/>
      <name val="Times New Roman"/>
    </font>
    <font>
      <color rgb="FFFFFFFF"/>
      <name val="Times New Roman"/>
    </font>
    <font>
      <sz val="11.0"/>
      <color rgb="FFFFFFFF"/>
      <name val="Arial"/>
    </font>
    <font>
      <sz val="11.0"/>
      <color rgb="FF1B1C1D"/>
      <name val="Arial"/>
    </font>
    <font>
      <sz val="11.0"/>
      <color rgb="FF000000"/>
      <name val="Arial"/>
    </font>
    <font>
      <sz val="11.0"/>
      <color rgb="FF444746"/>
      <name val="Arial"/>
    </font>
    <font>
      <color rgb="FF000000"/>
      <name val="Calibri"/>
      <scheme val="minor"/>
    </font>
    <font/>
    <font>
      <b/>
      <color rgb="FFFFFF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6983A4"/>
        <bgColor rgb="FF6983A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center" vertical="bottom"/>
    </xf>
    <xf borderId="0" fillId="0" fontId="6" numFmtId="0" xfId="0" applyFont="1"/>
    <xf borderId="0" fillId="0" fontId="6" numFmtId="0" xfId="0" applyAlignment="1" applyFont="1">
      <alignment readingOrder="0"/>
    </xf>
    <xf borderId="2" fillId="3" fontId="7" numFmtId="0" xfId="0" applyAlignment="1" applyBorder="1" applyFill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/>
    </xf>
    <xf borderId="6" fillId="0" fontId="6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Border="1" applyFont="1"/>
    <xf borderId="9" fillId="0" fontId="6" numFmtId="0" xfId="0" applyBorder="1" applyFont="1"/>
    <xf borderId="5" fillId="0" fontId="6" numFmtId="0" xfId="0" applyBorder="1" applyFont="1"/>
    <xf borderId="0" fillId="0" fontId="6" numFmtId="2" xfId="0" applyFont="1" applyNumberFormat="1"/>
    <xf borderId="6" fillId="0" fontId="6" numFmtId="2" xfId="0" applyBorder="1" applyFont="1" applyNumberFormat="1"/>
    <xf borderId="7" fillId="0" fontId="6" numFmtId="0" xfId="0" applyBorder="1" applyFont="1"/>
    <xf borderId="8" fillId="0" fontId="6" numFmtId="2" xfId="0" applyBorder="1" applyFont="1" applyNumberFormat="1"/>
    <xf borderId="9" fillId="0" fontId="6" numFmtId="2" xfId="0" applyBorder="1" applyFont="1" applyNumberFormat="1"/>
    <xf borderId="0" fillId="2" fontId="5" numFmtId="0" xfId="0" applyAlignment="1" applyFont="1">
      <alignment horizontal="center" readingOrder="0" vertical="bottom"/>
    </xf>
    <xf borderId="2" fillId="4" fontId="8" numFmtId="0" xfId="0" applyAlignment="1" applyBorder="1" applyFill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3" fillId="4" fontId="8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0" fillId="0" fontId="10" numFmtId="2" xfId="0" applyAlignment="1" applyFont="1" applyNumberFormat="1">
      <alignment horizontal="right" shrinkToFit="0" vertical="center" wrapText="1"/>
    </xf>
    <xf borderId="6" fillId="0" fontId="10" numFmtId="2" xfId="0" applyAlignment="1" applyBorder="1" applyFont="1" applyNumberFormat="1">
      <alignment horizontal="right" shrinkToFit="0" vertical="center" wrapText="1"/>
    </xf>
    <xf borderId="7" fillId="0" fontId="10" numFmtId="0" xfId="0" applyAlignment="1" applyBorder="1" applyFont="1">
      <alignment horizontal="left" readingOrder="0" shrinkToFit="0" vertical="center" wrapText="1"/>
    </xf>
    <xf borderId="8" fillId="0" fontId="10" numFmtId="2" xfId="0" applyAlignment="1" applyBorder="1" applyFont="1" applyNumberFormat="1">
      <alignment horizontal="right" shrinkToFit="0" vertical="center" wrapText="1"/>
    </xf>
    <xf borderId="9" fillId="0" fontId="10" numFmtId="2" xfId="0" applyAlignment="1" applyBorder="1" applyFont="1" applyNumberFormat="1">
      <alignment horizontal="right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6" fillId="0" fontId="11" numFmtId="2" xfId="0" applyAlignment="1" applyBorder="1" applyFont="1" applyNumberFormat="1">
      <alignment horizontal="left" readingOrder="0" shrinkToFit="0" vertical="center" wrapText="1"/>
    </xf>
    <xf borderId="9" fillId="0" fontId="11" numFmtId="2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0" fillId="0" fontId="10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8" fillId="0" fontId="10" numFmtId="9" xfId="0" applyAlignment="1" applyBorder="1" applyFont="1" applyNumberFormat="1">
      <alignment horizontal="left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9" fillId="0" fontId="12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3" fillId="0" fontId="13" numFmtId="0" xfId="0" applyBorder="1" applyFont="1"/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6" fillId="0" fontId="10" numFmtId="0" xfId="0" applyAlignment="1" applyBorder="1" applyFont="1">
      <alignment horizontal="left"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  <xf borderId="0" fillId="0" fontId="6" numFmtId="2" xfId="0" applyAlignment="1" applyFont="1" applyNumberFormat="1">
      <alignment horizontal="right"/>
    </xf>
    <xf borderId="6" fillId="0" fontId="6" numFmtId="2" xfId="0" applyAlignment="1" applyBorder="1" applyFont="1" applyNumberFormat="1">
      <alignment horizontal="right"/>
    </xf>
    <xf borderId="8" fillId="0" fontId="10" numFmtId="0" xfId="0" applyAlignment="1" applyBorder="1" applyFont="1">
      <alignment horizontal="right" readingOrder="0" shrinkToFit="0" vertical="center" wrapText="1"/>
    </xf>
    <xf borderId="8" fillId="0" fontId="6" numFmtId="2" xfId="0" applyAlignment="1" applyBorder="1" applyFont="1" applyNumberFormat="1">
      <alignment horizontal="right"/>
    </xf>
    <xf borderId="9" fillId="0" fontId="6" numFmtId="2" xfId="0" applyAlignment="1" applyBorder="1" applyFont="1" applyNumberFormat="1">
      <alignment horizontal="right"/>
    </xf>
    <xf borderId="1" fillId="0" fontId="1" numFmtId="1" xfId="0" applyAlignment="1" applyBorder="1" applyFont="1" applyNumberFormat="1">
      <alignment horizontal="center" readingOrder="0" vertical="top"/>
    </xf>
    <xf borderId="0" fillId="0" fontId="3" numFmtId="1" xfId="0" applyFont="1" applyNumberFormat="1"/>
    <xf borderId="1" fillId="0" fontId="1" numFmtId="1" xfId="0" applyAlignment="1" applyBorder="1" applyFont="1" applyNumberFormat="1">
      <alignment horizontal="center" vertical="top"/>
    </xf>
    <xf borderId="0" fillId="0" fontId="2" numFmtId="1" xfId="0" applyFont="1" applyNumberFormat="1"/>
    <xf borderId="0" fillId="2" fontId="14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4" xfId="0" applyFont="1" applyNumberFormat="1"/>
    <xf borderId="0" fillId="5" fontId="6" numFmtId="0" xfId="0" applyAlignment="1" applyFill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5" fontId="6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Revenues and Contribution Margin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Solutions!$C$5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Solutions!$B$6:$B$17</c:f>
            </c:strRef>
          </c:cat>
          <c:val>
            <c:numRef>
              <c:f>Solutions!$C$6:$C$17</c:f>
              <c:numCache/>
            </c:numRef>
          </c:val>
          <c:smooth val="1"/>
        </c:ser>
        <c:ser>
          <c:idx val="1"/>
          <c:order val="1"/>
          <c:tx>
            <c:strRef>
              <c:f>Solutions!$D$5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Solutions!$B$6:$B$17</c:f>
            </c:strRef>
          </c:cat>
          <c:val>
            <c:numRef>
              <c:f>Solutions!$D$6:$D$17</c:f>
              <c:numCache/>
            </c:numRef>
          </c:val>
          <c:smooth val="1"/>
        </c:ser>
        <c:axId val="47659272"/>
        <c:axId val="782650681"/>
      </c:lineChart>
      <c:catAx>
        <c:axId val="4765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650681"/>
      </c:catAx>
      <c:valAx>
        <c:axId val="78265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59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3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1" sheet="Aggregated Dataset"/>
  </cacheSource>
  <cacheFields>
    <cacheField name="City" numFmtId="0">
      <sharedItems>
        <s v="Hyderabad"/>
        <s v="Bangalore"/>
        <s v="Ahmedabad"/>
        <s v="Delhi"/>
        <s v="Kolkata"/>
        <s v="Chennai"/>
        <s v="Mumbai"/>
        <s v="Surat"/>
        <s v="Pune"/>
        <s v="Jaipur"/>
      </sharedItems>
    </cacheField>
    <cacheField name="Month" numFmtId="164">
      <sharedItems>
        <s v="Apr"/>
        <s v="Jul"/>
        <s v="Aug"/>
        <s v="Dec"/>
        <s v="May"/>
        <s v="Jun"/>
        <s v="Oct"/>
        <s v="Sep"/>
        <s v="Mar"/>
        <s v="Nov"/>
        <s v="Jan"/>
        <s v="Feb"/>
      </sharedItems>
    </cacheField>
    <cacheField name="Product_Category" numFmtId="0">
      <sharedItems>
        <s v="Smartphones"/>
        <s v="Tablets"/>
        <s v="Laptops"/>
        <s v="Accessories"/>
      </sharedItems>
    </cacheField>
    <cacheField name="Units_Sold" numFmtId="0">
      <sharedItems containsSemiMixedTypes="0" containsString="0" containsNumber="1" containsInteger="1">
        <n v="870.0"/>
        <n v="287.0"/>
        <n v="349.0"/>
        <n v="760.0"/>
        <n v="1160.0"/>
        <n v="443.0"/>
        <n v="334.0"/>
        <n v="463.0"/>
        <n v="203.0"/>
        <n v="1001.0"/>
        <n v="113.0"/>
        <n v="937.0"/>
        <n v="787.0"/>
        <n v="208.0"/>
        <n v="338.0"/>
        <n v="240.0"/>
        <n v="432.0"/>
        <n v="1125.0"/>
        <n v="1061.0"/>
        <n v="806.0"/>
        <n v="1174.0"/>
        <n v="430.0"/>
        <n v="442.0"/>
        <n v="905.0"/>
        <n v="228.0"/>
        <n v="397.0"/>
        <n v="833.0"/>
        <n v="512.0"/>
        <n v="909.0"/>
        <n v="312.0"/>
        <n v="824.0"/>
        <n v="646.0"/>
        <n v="893.0"/>
        <n v="586.0"/>
        <n v="802.0"/>
        <n v="1150.0"/>
        <n v="872.0"/>
        <n v="745.0"/>
        <n v="601.0"/>
        <n v="407.0"/>
        <n v="1072.0"/>
        <n v="653.0"/>
        <n v="797.0"/>
        <n v="791.0"/>
        <n v="221.0"/>
        <n v="1162.0"/>
        <n v="346.0"/>
        <n v="619.0"/>
        <n v="748.0"/>
        <n v="515.0"/>
        <n v="1165.0"/>
        <n v="131.0"/>
        <n v="116.0"/>
        <n v="138.0"/>
        <n v="1105.0"/>
        <n v="1111.0"/>
        <n v="1126.0"/>
        <n v="162.0"/>
        <n v="1012.0"/>
        <n v="1019.0"/>
        <n v="343.0"/>
        <n v="719.0"/>
        <n v="726.0"/>
        <n v="871.0"/>
        <n v="846.0"/>
        <n v="819.0"/>
        <n v="803.0"/>
        <n v="109.0"/>
        <n v="622.0"/>
        <n v="227.0"/>
        <n v="1089.0"/>
        <n v="264.0"/>
        <n v="684.0"/>
        <n v="214.0"/>
        <n v="1092.0"/>
        <n v="591.0"/>
        <n v="195.0"/>
        <n v="878.0"/>
        <n v="661.0"/>
        <n v="795.0"/>
        <n v="1054.0"/>
        <n v="698.0"/>
        <n v="1083.0"/>
        <n v="244.0"/>
        <n v="236.0"/>
        <n v="335.0"/>
        <n v="1056.0"/>
        <n v="401.0"/>
        <n v="986.0"/>
        <n v="1008.0"/>
        <n v="219.0"/>
        <n v="216.0"/>
        <n v="127.0"/>
        <n v="901.0"/>
        <n v="155.0"/>
        <n v="164.0"/>
        <n v="881.0"/>
        <n v="194.0"/>
        <n v="182.0"/>
        <n v="372.0"/>
        <n v="271.0"/>
        <n v="217.0"/>
        <n v="1000.0"/>
        <n v="1177.0"/>
        <n v="448.0"/>
        <n v="205.0"/>
        <n v="1049.0"/>
        <n v="382.0"/>
        <n v="1095.0"/>
        <n v="660.0"/>
        <n v="832.0"/>
        <n v="144.0"/>
        <n v="206.0"/>
        <n v="656.0"/>
        <n v="627.0"/>
        <n v="1179.0"/>
        <n v="427.0"/>
        <n v="241.0"/>
        <n v="163.0"/>
        <n v="1036.0"/>
        <n v="311.0"/>
        <n v="842.0"/>
        <n v="1103.0"/>
        <n v="402.0"/>
        <n v="167.0"/>
        <n v="739.0"/>
        <n v="458.0"/>
        <n v="104.0"/>
        <n v="1149.0"/>
        <n v="177.0"/>
        <n v="159.0"/>
        <n v="641.0"/>
        <n v="303.0"/>
        <n v="744.0"/>
        <n v="152.0"/>
        <n v="378.0"/>
        <n v="877.0"/>
        <n v="488.0"/>
        <n v="691.0"/>
        <n v="453.0"/>
        <n v="617.0"/>
        <n v="1059.0"/>
        <n v="456.0"/>
        <n v="801.0"/>
        <n v="424.0"/>
        <n v="213.0"/>
        <n v="410.0"/>
        <n v="100.0"/>
        <n v="212.0"/>
        <n v="654.0"/>
        <n v="361.0"/>
        <n v="607.0"/>
        <n v="296.0"/>
        <n v="295.0"/>
        <n v="781.0"/>
        <n v="462.0"/>
        <n v="681.0"/>
        <n v="433.0"/>
        <n v="855.0"/>
        <n v="899.0"/>
        <n v="124.0"/>
        <n v="128.0"/>
        <n v="345.0"/>
        <n v="752.0"/>
        <n v="185.0"/>
        <n v="891.0"/>
        <n v="154.0"/>
        <n v="911.0"/>
        <n v="172.0"/>
        <n v="707.0"/>
        <n v="674.0"/>
        <n v="1096.0"/>
        <n v="1060.0"/>
        <n v="188.0"/>
      </sharedItems>
    </cacheField>
    <cacheField name="Unit_Price" numFmtId="0">
      <sharedItems containsSemiMixedTypes="0" containsString="0" containsNumber="1">
        <n v="5429.54"/>
        <n v="7156.91"/>
        <n v="6723.95"/>
        <n v="5268.1"/>
        <n v="4812.18"/>
        <n v="6881.03"/>
        <n v="6519.92"/>
        <n v="6984.23"/>
        <n v="21142.61"/>
        <n v="5604.85"/>
        <n v="20774.25"/>
        <n v="5537.73"/>
        <n v="5073.89"/>
        <n v="6740.33"/>
        <n v="6890.89"/>
        <n v="6427.98"/>
        <n v="1182.23"/>
        <n v="1158.96"/>
        <n v="5393.56"/>
        <n v="5447.22"/>
        <n v="5288.04"/>
        <n v="6988.35"/>
        <n v="6850.43"/>
        <n v="1315.82"/>
        <n v="21186.31"/>
        <n v="6260.95"/>
        <n v="5390.59"/>
        <n v="1183.39"/>
        <n v="1308.67"/>
        <n v="7001.5"/>
        <n v="5586.7"/>
        <n v="1306.58"/>
        <n v="5580.56"/>
        <n v="1059.81"/>
        <n v="1288.75"/>
        <n v="5421.1"/>
        <n v="1220.57"/>
        <n v="1055.65"/>
        <n v="5500.1"/>
        <n v="6745.73"/>
        <n v="1132.0"/>
        <n v="1223.23"/>
        <n v="4724.11"/>
        <n v="1119.68"/>
        <n v="1242.45"/>
        <n v="6982.16"/>
        <n v="5355.34"/>
        <n v="6948.15"/>
        <n v="1021.67"/>
        <n v="1175.69"/>
        <n v="1115.32"/>
        <n v="4997.03"/>
        <n v="20581.82"/>
        <n v="22611.68"/>
        <n v="22224.1"/>
        <n v="5179.22"/>
        <n v="5188.81"/>
        <n v="1187.23"/>
        <n v="21169.79"/>
        <n v="1259.56"/>
        <n v="1126.96"/>
        <n v="6764.94"/>
        <n v="5211.1"/>
        <n v="4966.17"/>
        <n v="21120.04"/>
        <n v="5169.33"/>
        <n v="5317.31"/>
        <n v="5181.42"/>
        <n v="5190.15"/>
        <n v="22377.44"/>
        <n v="1518.7"/>
        <n v="21567.33"/>
        <n v="1096.56"/>
        <n v="6761.28"/>
        <n v="1151.36"/>
        <n v="21666.08"/>
        <n v="5389.73"/>
        <n v="1192.13"/>
        <n v="21937.68"/>
        <n v="5259.56"/>
        <n v="4808.68"/>
        <n v="1192.35"/>
        <n v="5320.71"/>
        <n v="5353.53"/>
        <n v="5662.73"/>
        <n v="21823.67"/>
        <n v="21947.29"/>
        <n v="6961.76"/>
        <n v="1133.58"/>
        <n v="7108.03"/>
        <n v="5618.03"/>
        <n v="5394.33"/>
        <n v="5231.36"/>
        <n v="5391.54"/>
        <n v="6489.46"/>
        <n v="6409.87"/>
        <n v="20828.22"/>
        <n v="21020.49"/>
        <n v="1372.77"/>
        <n v="20305.92"/>
        <n v="21613.64"/>
        <n v="22329.73"/>
        <n v="5368.18"/>
        <n v="5282.72"/>
        <n v="21755.63"/>
        <n v="21654.62"/>
        <n v="6289.42"/>
        <n v="6860.65"/>
        <n v="21085.67"/>
        <n v="5478.57"/>
        <n v="5340.62"/>
        <n v="6714.87"/>
        <n v="20137.29"/>
        <n v="5288.89"/>
        <n v="6170.76"/>
        <n v="1349.99"/>
        <n v="5193.95"/>
        <n v="5141.43"/>
        <n v="20999.81"/>
        <n v="21281.11"/>
        <n v="1218.15"/>
        <n v="20879.81"/>
        <n v="5473.37"/>
        <n v="21876.83"/>
        <n v="5170.69"/>
        <n v="5083.69"/>
        <n v="7412.3"/>
        <n v="7004.36"/>
        <n v="19968.98"/>
        <n v="5488.26"/>
        <n v="6585.43"/>
        <n v="5217.31"/>
        <n v="1217.4"/>
        <n v="5481.57"/>
        <n v="6199.18"/>
        <n v="21934.69"/>
        <n v="5351.94"/>
        <n v="6428.71"/>
        <n v="22305.03"/>
        <n v="5184.62"/>
        <n v="21093.28"/>
        <n v="1075.82"/>
        <n v="21245.22"/>
        <n v="5236.19"/>
        <n v="6497.08"/>
        <n v="4853.93"/>
        <n v="21688.49"/>
        <n v="6931.26"/>
        <n v="1218.19"/>
        <n v="6774.47"/>
        <n v="21221.98"/>
        <n v="1282.91"/>
        <n v="5582.85"/>
        <n v="1152.64"/>
        <n v="6751.18"/>
        <n v="1283.56"/>
        <n v="5540.99"/>
        <n v="6901.73"/>
        <n v="7461.61"/>
        <n v="5404.79"/>
        <n v="5510.36"/>
        <n v="6625.79"/>
        <n v="930.31"/>
        <n v="21456.56"/>
        <n v="1173.11"/>
        <n v="6368.04"/>
        <n v="6565.59"/>
        <n v="19800.72"/>
        <n v="22496.87"/>
        <n v="4885.32"/>
        <n v="6591.43"/>
        <n v="5286.08"/>
        <n v="1457.14"/>
        <n v="6744.7"/>
        <n v="6703.9"/>
        <n v="5312.31"/>
        <n v="6906.65"/>
        <n v="5393.36"/>
        <n v="6562.45"/>
        <n v="5517.71"/>
        <n v="1216.64"/>
        <n v="20719.22"/>
        <n v="21001.72"/>
        <n v="21165.49"/>
        <n v="7104.02"/>
        <n v="5325.36"/>
        <n v="21704.82"/>
        <n v="6994.81"/>
        <n v="20016.17"/>
        <n v="5102.08"/>
        <n v="1334.13"/>
        <n v="20792.98"/>
        <n v="5421.51"/>
        <n v="20284.66"/>
        <n v="5174.61"/>
        <n v="5662.49"/>
        <n v="1298.57"/>
        <n v="5181.11"/>
        <n v="1280.48"/>
        <n v="22244.2"/>
      </sharedItems>
    </cacheField>
    <cacheField name="Total_Sales" numFmtId="0">
      <sharedItems containsSemiMixedTypes="0" containsString="0" containsNumber="1" containsInteger="1">
        <n v="4723698.0"/>
        <n v="2054033.0"/>
        <n v="2346658.0"/>
        <n v="4003753.0"/>
        <n v="5582127.0"/>
        <n v="3048297.0"/>
        <n v="2177655.0"/>
        <n v="3233699.0"/>
        <n v="4291949.0"/>
        <n v="5610453.0"/>
        <n v="2347490.0"/>
        <n v="5188848.0"/>
        <n v="3993151.0"/>
        <n v="1401988.0"/>
        <n v="2329121.0"/>
        <n v="1542716.0"/>
        <n v="510722.0"/>
        <n v="1303832.0"/>
        <n v="5722566.0"/>
        <n v="4390463.0"/>
        <n v="6208155.0"/>
        <n v="3004991.0"/>
        <n v="3027892.0"/>
        <n v="1190816.0"/>
        <n v="4830479.0"/>
        <n v="2485595.0"/>
        <n v="4490359.0"/>
        <n v="605898.0"/>
        <n v="1189583.0"/>
        <n v="2184467.0"/>
        <n v="4603443.0"/>
        <n v="844050.0"/>
        <n v="4983439.0"/>
        <n v="621052.0"/>
        <n v="1033578.0"/>
        <n v="6234261.0"/>
        <n v="1064333.0"/>
        <n v="786460.0"/>
        <n v="3305558.0"/>
        <n v="2745511.0"/>
        <n v="1213501.0"/>
        <n v="798766.0"/>
        <n v="4426490.0"/>
        <n v="892387.0"/>
        <n v="982777.0"/>
        <n v="1543058.0"/>
        <n v="6222903.0"/>
        <n v="2404062.0"/>
        <n v="632417.0"/>
        <n v="879414.0"/>
        <n v="574390.0"/>
        <n v="5821541.0"/>
        <n v="2696219.0"/>
        <n v="2622955.0"/>
        <n v="3066925.0"/>
        <n v="5723037.0"/>
        <n v="5764769.0"/>
        <n v="1336817.0"/>
        <n v="3429506.0"/>
        <n v="1274679.0"/>
        <n v="1148376.0"/>
        <n v="2320374.0"/>
        <n v="3746781.0"/>
        <n v="3605442.0"/>
        <n v="4667530.0"/>
        <n v="4502490.0"/>
        <n v="4498447.0"/>
        <n v="4243586.0"/>
        <n v="4167690.0"/>
        <n v="2439141.0"/>
        <n v="944633.0"/>
        <n v="4895784.0"/>
        <n v="1194154.0"/>
        <n v="1784979.0"/>
        <n v="787528.0"/>
        <n v="4636541.0"/>
        <n v="5885585.0"/>
        <n v="704547.0"/>
        <n v="4277847.0"/>
        <n v="4617895.0"/>
        <n v="3178538.0"/>
        <n v="947916.0"/>
        <n v="5608032.0"/>
        <n v="3736762.0"/>
        <n v="6132740.0"/>
        <n v="5324975.0"/>
        <n v="5179560.0"/>
        <n v="2332190.0"/>
        <n v="1197058.0"/>
        <n v="2850321.0"/>
        <n v="4601168.0"/>
        <n v="5318808.0"/>
        <n v="5273211.0"/>
        <n v="4324011.0"/>
        <n v="1421191.0"/>
        <n v="2198584.0"/>
        <n v="4498896.0"/>
        <n v="2669602.0"/>
        <n v="1236870.0"/>
        <n v="4345467.0"/>
        <n v="3350114.0"/>
        <n v="3662075.0"/>
        <n v="4729370.0"/>
        <n v="3687337.0"/>
        <n v="4220592.0"/>
        <n v="3941141.0"/>
        <n v="2339665.0"/>
        <n v="1859235.0"/>
        <n v="4575590.0"/>
        <n v="5478565.0"/>
        <n v="6285913.0"/>
        <n v="3008263.0"/>
        <n v="4128145.0"/>
        <n v="5548046.0"/>
        <n v="2357231.0"/>
        <n v="1478238.0"/>
        <n v="3428006.0"/>
        <n v="4277666.0"/>
        <n v="3023973.0"/>
        <n v="4383909.0"/>
        <n v="799107.0"/>
        <n v="2651736.0"/>
        <n v="6157541.0"/>
        <n v="4681642.0"/>
        <n v="3242020.0"/>
        <n v="5993671.0"/>
        <n v="3165052.0"/>
        <n v="1688051.0"/>
        <n v="3254943.0"/>
        <n v="5685834.0"/>
        <n v="2048068.0"/>
        <n v="4392975.0"/>
        <n v="757221.0"/>
        <n v="6046177.0"/>
        <n v="2492070.0"/>
        <n v="3663093.0"/>
        <n v="3955087.0"/>
        <n v="2944347.0"/>
        <n v="2319724.0"/>
        <n v="5957130.0"/>
        <n v="3733510.0"/>
        <n v="804710.0"/>
        <n v="3377990.0"/>
        <n v="3356397.0"/>
        <n v="1968614.0"/>
        <n v="3611327.0"/>
        <n v="3296651.0"/>
        <n v="2620016.0"/>
        <n v="1068350.0"/>
        <n v="3305939.0"/>
        <n v="2207086.0"/>
        <n v="1404791.0"/>
        <n v="3606521.0"/>
        <n v="796475.0"/>
        <n v="3058284.0"/>
        <n v="791954.0"/>
        <n v="5867913.0"/>
        <n v="1573594.0"/>
        <n v="3402493.0"/>
        <n v="4329237.0"/>
        <n v="6469159.0"/>
        <n v="1431171.0"/>
        <n v="394452.0"/>
        <n v="4570248.0"/>
        <n v="891564.0"/>
        <n v="2903827.0"/>
        <n v="2691893.0"/>
        <n v="1980072.0"/>
        <n v="4769336.0"/>
        <n v="3195001.0"/>
        <n v="2379507.0"/>
        <n v="3208652.0"/>
        <n v="1226910.0"/>
        <n v="1996432.0"/>
        <n v="1977651.0"/>
        <n v="4148917.0"/>
        <n v="3190873.0"/>
        <n v="3672876.0"/>
        <n v="2841539.0"/>
        <n v="4717640.0"/>
        <n v="1093761.0"/>
        <n v="4433912.0"/>
        <n v="2604213.0"/>
        <n v="2709182.0"/>
        <n v="2450888.0"/>
        <n v="4004670.0"/>
        <n v="4015392.0"/>
        <n v="2602068.0"/>
        <n v="4423574.0"/>
        <n v="4545956.0"/>
        <n v="546994.0"/>
        <n v="3202119.0"/>
        <n v="4938999.0"/>
        <n v="3488961.0"/>
        <n v="3415240.0"/>
        <n v="4003380.0"/>
        <n v="875238.0"/>
        <n v="5678493.0"/>
        <n v="1357309.0"/>
        <n v="4181910.0"/>
      </sharedItems>
    </cacheField>
    <cacheField name="Customer_Count" numFmtId="0">
      <sharedItems containsSemiMixedTypes="0" containsString="0" containsNumber="1" containsInteger="1">
        <n v="642.0"/>
        <n v="224.0"/>
        <n v="326.0"/>
        <n v="589.0"/>
        <n v="825.0"/>
        <n v="375.0"/>
        <n v="241.0"/>
        <n v="328.0"/>
        <n v="152.0"/>
        <n v="894.0"/>
        <n v="95.0"/>
        <n v="782.0"/>
        <n v="708.0"/>
        <n v="185.0"/>
        <n v="303.0"/>
        <n v="222.0"/>
        <n v="337.0"/>
        <n v="1037.0"/>
        <n v="805.0"/>
        <n v="650.0"/>
        <n v="987.0"/>
        <n v="345.0"/>
        <n v="405.0"/>
        <n v="661.0"/>
        <n v="206.0"/>
        <n v="366.0"/>
        <n v="669.0"/>
        <n v="294.0"/>
        <n v="686.0"/>
        <n v="560.0"/>
        <n v="766.0"/>
        <n v="437.0"/>
        <n v="631.0"/>
        <n v="1074.0"/>
        <n v="762.0"/>
        <n v="704.0"/>
        <n v="449.0"/>
        <n v="376.0"/>
        <n v="793.0"/>
        <n v="458.0"/>
        <n v="888.0"/>
        <n v="622.0"/>
        <n v="666.0"/>
        <n v="168.0"/>
        <n v="1044.0"/>
        <n v="291.0"/>
        <n v="570.0"/>
        <n v="603.0"/>
        <n v="470.0"/>
        <n v="1018.0"/>
        <n v="100.0"/>
        <n v="105.0"/>
        <n v="124.0"/>
        <n v="774.0"/>
        <n v="1023.0"/>
        <n v="977.0"/>
        <n v="114.0"/>
        <n v="840.0"/>
        <n v="726.0"/>
        <n v="323.0"/>
        <n v="517.0"/>
        <n v="634.0"/>
        <n v="722.0"/>
        <n v="625.0"/>
        <n v="582.0"/>
        <n v="655.0"/>
        <n v="102.0"/>
        <n v="541.0"/>
        <n v="195.0"/>
        <n v="983.0"/>
        <n v="248.0"/>
        <n v="533.0"/>
        <n v="164.0"/>
        <n v="913.0"/>
        <n v="498.0"/>
        <n v="178.0"/>
        <n v="780.0"/>
        <n v="511.0"/>
        <n v="747.0"/>
        <n v="864.0"/>
        <n v="593.0"/>
        <n v="1020.0"/>
        <n v="176.0"/>
        <n v="169.0"/>
        <n v="265.0"/>
        <n v="761.0"/>
        <n v="371.0"/>
        <n v="730.0"/>
        <n v="834.0"/>
        <n v="948.0"/>
        <n v="745.0"/>
        <n v="207.0"/>
        <n v="91.0"/>
        <n v="691.0"/>
        <n v="188.0"/>
        <n v="134.0"/>
        <n v="802.0"/>
        <n v="138.0"/>
        <n v="322.0"/>
        <n v="191.0"/>
        <n v="196.0"/>
        <n v="733.0"/>
        <n v="1002.0"/>
        <n v="167.0"/>
        <n v="820.0"/>
        <n v="334.0"/>
        <n v="879.0"/>
        <n v="491.0"/>
        <n v="656.0"/>
        <n v="118.0"/>
        <n v="620.0"/>
        <n v="998.0"/>
        <n v="162.0"/>
        <n v="457.0"/>
        <n v="929.0"/>
        <n v="378.0"/>
        <n v="154.0"/>
        <n v="751.0"/>
        <n v="239.0"/>
        <n v="578.0"/>
        <n v="971.0"/>
        <n v="358.0"/>
        <n v="79.0"/>
        <n v="922.0"/>
        <n v="549.0"/>
        <n v="143.0"/>
        <n v="234.0"/>
        <n v="688.0"/>
        <n v="110.0"/>
        <n v="296.0"/>
        <n v="647.0"/>
        <n v="94.0"/>
        <n v="904.0"/>
        <n v="454.0"/>
        <n v="607.0"/>
        <n v="362.0"/>
        <n v="522.0"/>
        <n v="165.0"/>
        <n v="364.0"/>
        <n v="721.0"/>
        <n v="1092.0"/>
        <n v="182.0"/>
        <n v="393.0"/>
        <n v="184.0"/>
        <n v="548.0"/>
        <n v="354.0"/>
        <n v="351.0"/>
        <n v="89.0"/>
        <n v="156.0"/>
        <n v="612.0"/>
        <n v="266.0"/>
        <n v="429.0"/>
        <n v="660.0"/>
        <n v="586.0"/>
        <n v="628.0"/>
        <n v="306.0"/>
        <n v="716.0"/>
        <n v="850.0"/>
        <n v="177.0"/>
        <n v="112.0"/>
        <n v="284.0"/>
        <n v="619.0"/>
        <n v="157.0"/>
        <n v="338.0"/>
        <n v="795.0"/>
        <n v="317.0"/>
        <n v="133.0"/>
        <n v="649.0"/>
        <n v="123.0"/>
        <n v="502.0"/>
        <n v="617.0"/>
        <n v="633.0"/>
        <n v="817.0"/>
        <n v="910.0"/>
        <n v="161.0"/>
      </sharedItems>
    </cacheField>
    <cacheField name="Variable_Cost_Per_Unit" numFmtId="0">
      <sharedItems containsSemiMixedTypes="0" containsString="0" containsNumber="1">
        <n v="3257.7239999999997"/>
        <n v="4294.146"/>
        <n v="4034.37"/>
        <n v="3160.86"/>
        <n v="2887.308"/>
        <n v="4128.6179999999995"/>
        <n v="3911.9519999999998"/>
        <n v="4190.538"/>
        <n v="12685.566"/>
        <n v="3362.9100000000003"/>
        <n v="12464.55"/>
        <n v="3322.6379999999995"/>
        <n v="3044.3340000000003"/>
        <n v="4044.198"/>
        <n v="4134.534"/>
        <n v="3856.7879999999996"/>
        <n v="709.338"/>
        <n v="695.376"/>
        <n v="3236.136"/>
        <n v="3268.332"/>
        <n v="3172.824"/>
        <n v="4193.01"/>
        <n v="4110.258"/>
        <n v="789.492"/>
        <n v="12711.786"/>
        <n v="3756.5699999999997"/>
        <n v="3234.354"/>
        <n v="710.034"/>
        <n v="785.202"/>
        <n v="4200.9"/>
        <n v="3352.02"/>
        <n v="783.948"/>
        <n v="3348.3360000000002"/>
        <n v="635.886"/>
        <n v="773.25"/>
        <n v="3252.6600000000003"/>
        <n v="732.342"/>
        <n v="633.39"/>
        <n v="3300.06"/>
        <n v="4047.4379999999996"/>
        <n v="679.1999999999999"/>
        <n v="733.938"/>
        <n v="2834.466"/>
        <n v="671.808"/>
        <n v="745.47"/>
        <n v="4189.295999999999"/>
        <n v="3213.204"/>
        <n v="4168.889999999999"/>
        <n v="613.002"/>
        <n v="705.414"/>
        <n v="669.1919999999999"/>
        <n v="2998.218"/>
        <n v="12349.091999999999"/>
        <n v="13567.008"/>
        <n v="13334.46"/>
        <n v="3107.532"/>
        <n v="3113.286"/>
        <n v="712.338"/>
        <n v="12701.874"/>
        <n v="755.736"/>
        <n v="676.176"/>
        <n v="4058.9639999999995"/>
        <n v="3126.6600000000003"/>
        <n v="2979.7019999999998"/>
        <n v="12672.024"/>
        <n v="3101.598"/>
        <n v="3190.386"/>
        <n v="3108.852"/>
        <n v="3114.0899999999997"/>
        <n v="13426.463999999998"/>
        <n v="911.22"/>
        <n v="12940.398000000001"/>
        <n v="657.9359999999999"/>
        <n v="4056.7679999999996"/>
        <n v="690.8159999999999"/>
        <n v="12999.648000000001"/>
        <n v="3233.8379999999997"/>
        <n v="715.278"/>
        <n v="13162.608"/>
        <n v="3155.7360000000003"/>
        <n v="2885.208"/>
        <n v="715.41"/>
        <n v="3192.426"/>
        <n v="3212.118"/>
        <n v="3397.6379999999995"/>
        <n v="13094.202"/>
        <n v="13168.374"/>
        <n v="4177.056"/>
        <n v="680.1479999999999"/>
        <n v="4264.817999999999"/>
        <n v="3370.8179999999998"/>
        <n v="3236.598"/>
        <n v="3138.816"/>
        <n v="3234.924"/>
        <n v="3893.676"/>
        <n v="3845.9219999999996"/>
        <n v="12496.932"/>
        <n v="12612.294"/>
        <n v="823.6619999999999"/>
        <n v="12183.551999999998"/>
        <n v="12968.184"/>
        <n v="13397.838"/>
        <n v="3220.908"/>
        <n v="3169.632"/>
        <n v="13053.378"/>
        <n v="12992.771999999999"/>
        <n v="3773.652"/>
        <n v="4116.389999999999"/>
        <n v="12651.401999999998"/>
        <n v="3287.142"/>
        <n v="3204.372"/>
        <n v="4028.9219999999996"/>
        <n v="12082.374"/>
        <n v="3173.3340000000003"/>
        <n v="3702.456"/>
        <n v="809.994"/>
        <n v="3116.37"/>
        <n v="3084.858"/>
        <n v="12599.886"/>
        <n v="12768.666"/>
        <n v="730.89"/>
        <n v="12527.886"/>
        <n v="3284.022"/>
        <n v="13126.098"/>
        <n v="3102.4139999999998"/>
        <n v="3050.2139999999995"/>
        <n v="4447.38"/>
        <n v="4202.616"/>
        <n v="11981.387999999999"/>
        <n v="3292.956"/>
        <n v="3951.258"/>
        <n v="3130.386"/>
        <n v="730.44"/>
        <n v="3288.9419999999996"/>
        <n v="3719.508"/>
        <n v="13160.813999999998"/>
        <n v="3211.1639999999998"/>
        <n v="3857.2259999999997"/>
        <n v="13383.017999999998"/>
        <n v="3110.772"/>
        <n v="12655.967999999999"/>
        <n v="645.492"/>
        <n v="12747.132"/>
        <n v="3141.7139999999995"/>
        <n v="3898.2479999999996"/>
        <n v="2912.358"/>
        <n v="13013.094000000001"/>
        <n v="4158.756"/>
        <n v="730.914"/>
        <n v="4064.682"/>
        <n v="12733.188"/>
        <n v="769.746"/>
        <n v="3349.71"/>
        <n v="691.5840000000001"/>
        <n v="4050.708"/>
        <n v="770.136"/>
        <n v="3324.5939999999996"/>
        <n v="4141.038"/>
        <n v="4476.965999999999"/>
        <n v="3242.874"/>
        <n v="3306.216"/>
        <n v="3975.4739999999997"/>
        <n v="558.1859999999999"/>
        <n v="12873.936"/>
        <n v="703.8659999999999"/>
        <n v="3820.8239999999996"/>
        <n v="3939.354"/>
        <n v="11880.432"/>
        <n v="13498.122"/>
        <n v="2931.1919999999996"/>
        <n v="3954.858"/>
        <n v="3171.6479999999997"/>
        <n v="874.284"/>
        <n v="4046.8199999999997"/>
        <n v="4022.3399999999997"/>
        <n v="3187.386"/>
        <n v="4143.99"/>
        <n v="3236.0159999999996"/>
        <n v="3937.47"/>
        <n v="3310.6259999999997"/>
        <n v="729.984"/>
        <n v="12431.532000000001"/>
        <n v="12601.032000000001"/>
        <n v="12699.294"/>
        <n v="4262.412"/>
        <n v="3195.216"/>
        <n v="13022.892"/>
        <n v="4196.886"/>
        <n v="12009.702"/>
        <n v="3061.248"/>
        <n v="800.4780000000001"/>
        <n v="12475.787999999999"/>
        <n v="3252.906"/>
        <n v="12170.796"/>
        <n v="3104.7659999999996"/>
        <n v="3397.4939999999997"/>
        <n v="779.1419999999999"/>
        <n v="3108.6659999999997"/>
        <n v="768.288"/>
        <n v="13346.52"/>
      </sharedItems>
    </cacheField>
    <cacheField name="Contribution_Margin" numFmtId="0">
      <sharedItems containsSemiMixedTypes="0" containsString="0" containsNumber="1">
        <n v="1889479.9200000002"/>
        <n v="821613.268"/>
        <n v="938663.4199999999"/>
        <n v="1601502.4000000001"/>
        <n v="2232851.5200000005"/>
        <n v="1219318.516"/>
        <n v="871061.3120000002"/>
        <n v="1293479.396"/>
        <n v="1716779.932"/>
        <n v="2244181.94"/>
        <n v="938996.1000000001"/>
        <n v="2075541.2040000001"/>
        <n v="1597260.572"/>
        <n v="560795.456"/>
        <n v="931648.3280000002"/>
        <n v="617086.08"/>
        <n v="204289.344"/>
        <n v="521532.00000000006"/>
        <n v="2289026.8640000005"/>
        <n v="1756183.7280000004"/>
        <n v="2483263.584"/>
        <n v="1201996.2"/>
        <n v="1211156.0240000002"/>
        <n v="476326.83999999997"/>
        <n v="1932191.4720000003"/>
        <n v="994238.86"/>
        <n v="1796144.5880000002"/>
        <n v="242358.27200000006"/>
        <n v="475832.41200000007"/>
        <n v="873787.2000000001"/>
        <n v="1841376.3199999998"/>
        <n v="337620.27199999994"/>
        <n v="1993376.0320000001"/>
        <n v="248419.46399999998"/>
        <n v="413431.0"/>
        <n v="2493706.0"/>
        <n v="425734.81599999993"/>
        <n v="314583.70000000007"/>
        <n v="1322224.0400000003"/>
        <n v="1098204.844"/>
        <n v="485401.6000000001"/>
        <n v="319507.67600000004"/>
        <n v="1770596.4279999998"/>
        <n v="356953.98400000005"/>
        <n v="393111.18"/>
        <n v="617222.9440000001"/>
        <n v="2489162.032"/>
        <n v="961623.9600000001"/>
        <n v="252965.492"/>
        <n v="351766.44800000003"/>
        <n v="229755.92"/>
        <n v="2328615.98"/>
        <n v="1078487.368"/>
        <n v="1049181.952"/>
        <n v="1226770.3199999998"/>
        <n v="2289215.24"/>
        <n v="2305907.1640000003"/>
        <n v="534728.3920000001"/>
        <n v="1371802.3920000002"/>
        <n v="509869.888"/>
        <n v="459348.896"/>
        <n v="928149.768"/>
        <n v="1498712.36"/>
        <n v="1442175.7680000002"/>
        <n v="1867011.5360000003"/>
        <n v="1800994.572"/>
        <n v="1799377.7040000004"/>
        <n v="1697433.1920000003"/>
        <n v="1667076.18"/>
        <n v="975656.3840000001"/>
        <n v="377852.56"/>
        <n v="1958313.5640000002"/>
        <n v="477661.536"/>
        <n v="713991.1680000001"/>
        <n v="315012.09599999996"/>
        <n v="1854616.448"/>
        <n v="2354234.064"/>
        <n v="281819.53200000006"/>
        <n v="1711139.04"/>
        <n v="1847157.472"/>
        <n v="1271414.992"/>
        <n v="379167.29999999993"/>
        <n v="2243211.336"/>
        <n v="1494705.576"/>
        <n v="2453094.636"/>
        <n v="2129990.192"/>
        <n v="2071824.1760000002"/>
        <n v="932875.8400000002"/>
        <n v="478824.19200000004"/>
        <n v="1140128.012"/>
        <n v="1840466.628"/>
        <n v="2127523.752"/>
        <n v="2109284.352"/>
        <n v="1729606.032"/>
        <n v="568476.696"/>
        <n v="879434.1640000001"/>
        <n v="1799558.208"/>
        <n v="1067840.8920000002"/>
        <n v="494746.3080000001"/>
        <n v="1738186.752"/>
        <n v="1340045.68"/>
        <n v="1464830.288"/>
        <n v="1891746.6320000004"/>
        <n v="1474935.424"/>
        <n v="1688236.888"/>
        <n v="1576456.336"/>
        <n v="935865.696"/>
        <n v="743694.4600000001"/>
        <n v="1830236.156"/>
        <n v="2191428.0"/>
        <n v="2514363.896"/>
        <n v="1203304.7040000001"/>
        <n v="1651257.7800000003"/>
        <n v="2219218.244"/>
        <n v="942892.128"/>
        <n v="591295.62"/>
        <n v="1371202.8"/>
        <n v="1711067.904"/>
        <n v="1209589.056"/>
        <n v="1753563.4640000004"/>
        <n v="319642.56000000006"/>
        <n v="1060694.348"/>
        <n v="2463016.5"/>
        <n v="1872656.6480000003"/>
        <n v="1296809.052"/>
        <n v="2397468.204"/>
        <n v="1266020.84"/>
        <n v="675220.3039999999"/>
        <n v="1301977.496"/>
        <n v="2274334.944"/>
        <n v="819227.4920000002"/>
        <n v="1757190.0080000004"/>
        <n v="302889.12"/>
        <n v="2418468.6840000004"/>
        <n v="996828.1440000002"/>
        <n v="1465237.2920000001"/>
        <n v="1582033.464"/>
        <n v="1177739.6720000003"/>
        <n v="927889.248"/>
        <n v="2382851.352"/>
        <n v="1493404.224"/>
        <n v="321885.344"/>
        <n v="1351195.9920000003"/>
        <n v="1342559.1160000002"/>
        <n v="787446.0960000001"/>
        <n v="1444529.568"/>
        <n v="1318660.192"/>
        <n v="1048006.512"/>
        <n v="427341.0520000001"/>
        <n v="1322376.5440000002"/>
        <n v="882834.3679999999"/>
        <n v="561914.5800000001"/>
        <n v="1442608.4400000002"/>
        <n v="318589.69600000005"/>
        <n v="1223313.816"/>
        <n v="316782.608"/>
        <n v="2347163.364"/>
        <n v="629437.776"/>
        <n v="1360997.664"/>
        <n v="1731694.7160000002"/>
        <n v="2587665.056"/>
        <n v="572468.256"/>
        <n v="157780.576"/>
        <n v="1828098.9120000002"/>
        <n v="356625.44"/>
        <n v="1161530.4960000003"/>
        <n v="1076756.7600000002"/>
        <n v="792028.8"/>
        <n v="1907734.576"/>
        <n v="1277999.712"/>
        <n v="951802.4920000001"/>
        <n v="1283460.2240000002"/>
        <n v="490764.7520000001"/>
        <n v="798572.48"/>
        <n v="791060.2"/>
        <n v="1659565.6440000003"/>
        <n v="1276348.92"/>
        <n v="1469151.264"/>
        <n v="1136616.34"/>
        <n v="1887056.8200000003"/>
        <n v="437503.74400000006"/>
        <n v="1773565.232"/>
        <n v="1041685.312"/>
        <n v="1083673.0880000002"/>
        <n v="980354.76"/>
        <n v="1601868.288"/>
        <n v="1606156.68"/>
        <n v="1040827.728"/>
        <n v="1769429.4279999998"/>
        <n v="1818381.312"/>
        <n v="218797.32"/>
        <n v="1280847.5680000002"/>
        <n v="1975598.2440000002"/>
        <n v="1395584.608"/>
        <n v="1366097.04"/>
        <n v="1601352.172"/>
        <n v="350094.472"/>
        <n v="2271398.624"/>
        <n v="542923.52"/>
        <n v="1672763.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14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ly Trend" axis="axisRow" compact="0" numFmtId="164" outline="0" multipleItemSelectionAllowed="1" showAll="0" sortType="ascending">
      <items>
        <item x="0"/>
        <item x="2"/>
        <item x="3"/>
        <item x="11"/>
        <item x="10"/>
        <item x="1"/>
        <item x="5"/>
        <item x="8"/>
        <item x="4"/>
        <item x="9"/>
        <item x="6"/>
        <item x="7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mer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Variable_Cos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ntribution_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1"/>
  </rowFields>
  <colFields>
    <field x="-2"/>
  </colFields>
  <dataFields>
    <dataField name="SUM of Total_Sales" fld="5" baseField="0"/>
    <dataField name="SUM of Contribution_Margin" fld="8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7:C28" firstHeaderRow="0" firstDataRow="2" firstDataCol="0"/>
  <pivotFields>
    <pivotField name="Top Locations" axis="axisRow" compact="0" outline="0" multipleItemSelectionAllowed="1" showAll="0" sortType="ascending">
      <items>
        <item x="2"/>
        <item x="1"/>
        <item x="5"/>
        <item x="3"/>
        <item x="0"/>
        <item x="9"/>
        <item x="4"/>
        <item x="6"/>
        <item x="8"/>
        <item x="7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Units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m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Variable_Cos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ntribution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0"/>
  </rowFields>
  <colFields>
    <field x="-2"/>
  </colFields>
  <dataFields>
    <dataField name="SUM of Total_Sales" fld="5" baseField="0"/>
    <dataField name="SUM of Customer_Count" fld="6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31:E36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 Performanc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Units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m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Variable_Cos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ontribution_Marg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2"/>
  </rowFields>
  <colFields>
    <field x="-2"/>
  </colFields>
  <dataFields>
    <dataField name="SUM of Total_Sales" fld="5" baseField="0"/>
    <dataField name="SUM of Units_Sold" fld="3" baseField="0"/>
    <dataField name="SUM of Customer_Count" fld="6" baseField="0"/>
    <dataField name="SUM of Contribution_Margin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86"/>
    <col customWidth="1" min="3" max="3" width="19.57"/>
    <col customWidth="1" min="4" max="4" width="13.43"/>
    <col customWidth="1" min="5" max="5" width="13.14"/>
    <col customWidth="1" min="6" max="6" width="13.71"/>
    <col customWidth="1" min="7" max="7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</row>
    <row r="3">
      <c r="A3" s="2" t="s">
        <v>10</v>
      </c>
      <c r="B3" s="2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</row>
    <row r="4">
      <c r="A4" s="2" t="s">
        <v>13</v>
      </c>
      <c r="B4" s="2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</row>
    <row r="5">
      <c r="A5" s="2" t="s">
        <v>15</v>
      </c>
      <c r="B5" s="2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</row>
    <row r="6">
      <c r="A6" s="2" t="s">
        <v>17</v>
      </c>
      <c r="B6" s="2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</row>
    <row r="7">
      <c r="A7" s="2" t="s">
        <v>10</v>
      </c>
      <c r="B7" s="2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</row>
    <row r="8">
      <c r="A8" s="2" t="s">
        <v>10</v>
      </c>
      <c r="B8" s="2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</row>
    <row r="9">
      <c r="A9" s="2" t="s">
        <v>19</v>
      </c>
      <c r="B9" s="2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</row>
    <row r="10">
      <c r="A10" s="2" t="s">
        <v>20</v>
      </c>
      <c r="B10" s="2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</row>
    <row r="11">
      <c r="A11" s="2" t="s">
        <v>19</v>
      </c>
      <c r="B11" s="2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</row>
    <row r="12">
      <c r="A12" s="2" t="s">
        <v>15</v>
      </c>
      <c r="B12" s="2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</row>
    <row r="13">
      <c r="A13" s="2" t="s">
        <v>24</v>
      </c>
      <c r="B13" s="2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</row>
    <row r="14">
      <c r="A14" s="2" t="s">
        <v>13</v>
      </c>
      <c r="B14" s="2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</row>
    <row r="15">
      <c r="A15" s="2" t="s">
        <v>20</v>
      </c>
      <c r="B15" s="2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</row>
    <row r="16">
      <c r="A16" s="2" t="s">
        <v>13</v>
      </c>
      <c r="B16" s="2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</row>
    <row r="17">
      <c r="A17" s="2" t="s">
        <v>26</v>
      </c>
      <c r="B17" s="2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</row>
    <row r="18">
      <c r="A18" s="2" t="s">
        <v>24</v>
      </c>
      <c r="B18" s="2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</row>
    <row r="19">
      <c r="A19" s="2" t="s">
        <v>10</v>
      </c>
      <c r="B19" s="2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</row>
    <row r="20">
      <c r="A20" s="2" t="s">
        <v>20</v>
      </c>
      <c r="B20" s="2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</row>
    <row r="21" ht="15.75" customHeight="1">
      <c r="A21" s="2" t="s">
        <v>7</v>
      </c>
      <c r="B21" s="2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</row>
    <row r="22" ht="15.75" customHeight="1">
      <c r="A22" s="2" t="s">
        <v>30</v>
      </c>
      <c r="B22" s="2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</row>
    <row r="23" ht="15.75" customHeight="1">
      <c r="A23" s="2" t="s">
        <v>19</v>
      </c>
      <c r="B23" s="2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</row>
    <row r="24" ht="15.75" customHeight="1">
      <c r="A24" s="2" t="s">
        <v>19</v>
      </c>
      <c r="B24" s="2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</row>
    <row r="25" ht="15.75" customHeight="1">
      <c r="A25" s="2" t="s">
        <v>19</v>
      </c>
      <c r="B25" s="2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</row>
    <row r="26" ht="15.75" customHeight="1">
      <c r="A26" s="2" t="s">
        <v>24</v>
      </c>
      <c r="B26" s="2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</row>
    <row r="27" ht="15.75" customHeight="1">
      <c r="A27" s="2" t="s">
        <v>24</v>
      </c>
      <c r="B27" s="2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</row>
    <row r="28" ht="15.75" customHeight="1">
      <c r="A28" s="2" t="s">
        <v>24</v>
      </c>
      <c r="B28" s="2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</row>
    <row r="29" ht="15.75" customHeight="1">
      <c r="A29" s="2" t="s">
        <v>13</v>
      </c>
      <c r="B29" s="2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</row>
    <row r="30" ht="15.75" customHeight="1">
      <c r="A30" s="2" t="s">
        <v>30</v>
      </c>
      <c r="B30" s="2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</row>
    <row r="31" ht="15.75" customHeight="1">
      <c r="A31" s="2" t="s">
        <v>13</v>
      </c>
      <c r="B31" s="2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</row>
    <row r="32" ht="15.75" customHeight="1">
      <c r="A32" s="2" t="s">
        <v>17</v>
      </c>
      <c r="B32" s="2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</row>
    <row r="33" ht="15.75" customHeight="1">
      <c r="A33" s="2" t="s">
        <v>30</v>
      </c>
      <c r="B33" s="2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</row>
    <row r="34" ht="15.75" customHeight="1">
      <c r="A34" s="2" t="s">
        <v>13</v>
      </c>
      <c r="B34" s="2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</row>
    <row r="35" ht="15.75" customHeight="1">
      <c r="A35" s="2" t="s">
        <v>20</v>
      </c>
      <c r="B35" s="2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</row>
    <row r="36" ht="15.75" customHeight="1">
      <c r="A36" s="2" t="s">
        <v>10</v>
      </c>
      <c r="B36" s="2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</row>
    <row r="37" ht="15.75" customHeight="1">
      <c r="A37" s="2" t="s">
        <v>7</v>
      </c>
      <c r="B37" s="2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</row>
    <row r="38" ht="15.75" customHeight="1">
      <c r="A38" s="2" t="s">
        <v>20</v>
      </c>
      <c r="B38" s="2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</row>
    <row r="39" ht="15.75" customHeight="1">
      <c r="A39" s="2" t="s">
        <v>7</v>
      </c>
      <c r="B39" s="2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</row>
    <row r="40" ht="15.75" customHeight="1">
      <c r="A40" s="2" t="s">
        <v>19</v>
      </c>
      <c r="B40" s="2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</row>
    <row r="41" ht="15.75" customHeight="1">
      <c r="A41" s="2" t="s">
        <v>24</v>
      </c>
      <c r="B41" s="2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</row>
    <row r="42" ht="15.75" customHeight="1">
      <c r="A42" s="2" t="s">
        <v>13</v>
      </c>
      <c r="B42" s="2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</row>
    <row r="43" ht="15.75" customHeight="1">
      <c r="A43" s="2" t="s">
        <v>17</v>
      </c>
      <c r="B43" s="2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</row>
    <row r="44" ht="15.75" customHeight="1">
      <c r="A44" s="2" t="s">
        <v>24</v>
      </c>
      <c r="B44" s="2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</row>
    <row r="45" ht="15.75" customHeight="1">
      <c r="A45" s="2" t="s">
        <v>19</v>
      </c>
      <c r="B45" s="2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</row>
    <row r="46" ht="15.75" customHeight="1">
      <c r="A46" s="2" t="s">
        <v>19</v>
      </c>
      <c r="B46" s="2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</row>
    <row r="47" ht="15.75" customHeight="1">
      <c r="A47" s="2" t="s">
        <v>10</v>
      </c>
      <c r="B47" s="2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</row>
    <row r="48" ht="15.75" customHeight="1">
      <c r="A48" s="2" t="s">
        <v>17</v>
      </c>
      <c r="B48" s="2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</row>
    <row r="49" ht="15.75" customHeight="1">
      <c r="A49" s="2" t="s">
        <v>20</v>
      </c>
      <c r="B49" s="2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</row>
    <row r="50" ht="15.75" customHeight="1">
      <c r="A50" s="2" t="s">
        <v>20</v>
      </c>
      <c r="B50" s="2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</row>
    <row r="51" ht="15.75" customHeight="1">
      <c r="A51" s="2" t="s">
        <v>24</v>
      </c>
      <c r="B51" s="2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</row>
    <row r="52" ht="15.75" customHeight="1">
      <c r="A52" s="2" t="s">
        <v>26</v>
      </c>
      <c r="B52" s="2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</row>
    <row r="53" ht="15.75" customHeight="1">
      <c r="A53" s="2" t="s">
        <v>10</v>
      </c>
      <c r="B53" s="2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</row>
    <row r="54" ht="15.75" customHeight="1">
      <c r="A54" s="2" t="s">
        <v>13</v>
      </c>
      <c r="B54" s="2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</row>
    <row r="55" ht="15.75" customHeight="1">
      <c r="A55" s="2" t="s">
        <v>30</v>
      </c>
      <c r="B55" s="2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</row>
    <row r="56" ht="15.75" customHeight="1">
      <c r="A56" s="2" t="s">
        <v>24</v>
      </c>
      <c r="B56" s="2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</row>
    <row r="57" ht="15.75" customHeight="1">
      <c r="A57" s="2" t="s">
        <v>24</v>
      </c>
      <c r="B57" s="2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</row>
    <row r="58" ht="15.75" customHeight="1">
      <c r="A58" s="2" t="s">
        <v>19</v>
      </c>
      <c r="B58" s="2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</row>
    <row r="59" ht="15.75" customHeight="1">
      <c r="A59" s="2" t="s">
        <v>15</v>
      </c>
      <c r="B59" s="2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</row>
    <row r="60" ht="15.75" customHeight="1">
      <c r="A60" s="2" t="s">
        <v>10</v>
      </c>
      <c r="B60" s="2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</row>
    <row r="61" ht="15.75" customHeight="1">
      <c r="A61" s="2" t="s">
        <v>17</v>
      </c>
      <c r="B61" s="2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</row>
    <row r="62" ht="15.75" customHeight="1">
      <c r="A62" s="2" t="s">
        <v>26</v>
      </c>
      <c r="B62" s="2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</row>
    <row r="63" ht="15.75" customHeight="1">
      <c r="A63" s="2" t="s">
        <v>19</v>
      </c>
      <c r="B63" s="2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</row>
    <row r="64" ht="15.75" customHeight="1">
      <c r="A64" s="2" t="s">
        <v>30</v>
      </c>
      <c r="B64" s="2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</row>
    <row r="65" ht="15.75" customHeight="1">
      <c r="A65" s="2" t="s">
        <v>26</v>
      </c>
      <c r="B65" s="2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</row>
    <row r="66" ht="15.75" customHeight="1">
      <c r="A66" s="2" t="s">
        <v>26</v>
      </c>
      <c r="B66" s="2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</row>
    <row r="67" ht="15.75" customHeight="1">
      <c r="A67" s="2" t="s">
        <v>24</v>
      </c>
      <c r="B67" s="2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</row>
    <row r="68" ht="15.75" customHeight="1">
      <c r="A68" s="2" t="s">
        <v>26</v>
      </c>
      <c r="B68" s="2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</row>
    <row r="69" ht="15.75" customHeight="1">
      <c r="A69" s="2" t="s">
        <v>17</v>
      </c>
      <c r="B69" s="2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</row>
    <row r="70" ht="15.75" customHeight="1">
      <c r="A70" s="2" t="s">
        <v>20</v>
      </c>
      <c r="B70" s="2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</row>
    <row r="71" ht="15.75" customHeight="1">
      <c r="A71" s="2" t="s">
        <v>26</v>
      </c>
      <c r="B71" s="2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</row>
    <row r="72" ht="15.75" customHeight="1">
      <c r="A72" s="2" t="s">
        <v>19</v>
      </c>
      <c r="B72" s="2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</row>
    <row r="73" ht="15.75" customHeight="1">
      <c r="A73" s="2" t="s">
        <v>13</v>
      </c>
      <c r="B73" s="2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</row>
    <row r="74" ht="15.75" customHeight="1">
      <c r="A74" s="2" t="s">
        <v>19</v>
      </c>
      <c r="B74" s="2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</row>
    <row r="75" ht="15.75" customHeight="1">
      <c r="A75" s="2" t="s">
        <v>26</v>
      </c>
      <c r="B75" s="2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</row>
    <row r="76" ht="15.75" customHeight="1">
      <c r="A76" s="2" t="s">
        <v>30</v>
      </c>
      <c r="B76" s="2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</row>
    <row r="77" ht="15.75" customHeight="1">
      <c r="A77" s="2" t="s">
        <v>30</v>
      </c>
      <c r="B77" s="2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</row>
    <row r="78" ht="15.75" customHeight="1">
      <c r="A78" s="2" t="s">
        <v>19</v>
      </c>
      <c r="B78" s="2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</row>
    <row r="79" ht="15.75" customHeight="1">
      <c r="A79" s="2" t="s">
        <v>26</v>
      </c>
      <c r="B79" s="2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</row>
    <row r="80" ht="15.75" customHeight="1">
      <c r="A80" s="2" t="s">
        <v>10</v>
      </c>
      <c r="B80" s="2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</row>
    <row r="81" ht="15.75" customHeight="1">
      <c r="A81" s="2" t="s">
        <v>20</v>
      </c>
      <c r="B81" s="2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</row>
    <row r="82" ht="15.75" customHeight="1">
      <c r="A82" s="2" t="s">
        <v>24</v>
      </c>
      <c r="B82" s="2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</row>
    <row r="83" ht="15.75" customHeight="1">
      <c r="A83" s="2" t="s">
        <v>10</v>
      </c>
      <c r="B83" s="2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</row>
    <row r="84" ht="15.75" customHeight="1">
      <c r="A84" s="2" t="s">
        <v>10</v>
      </c>
      <c r="B84" s="2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</row>
    <row r="85" ht="15.75" customHeight="1">
      <c r="A85" s="2" t="s">
        <v>30</v>
      </c>
      <c r="B85" s="2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</row>
    <row r="86" ht="15.75" customHeight="1">
      <c r="A86" s="2" t="s">
        <v>19</v>
      </c>
      <c r="B86" s="2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</row>
    <row r="87" ht="15.75" customHeight="1">
      <c r="A87" s="2" t="s">
        <v>24</v>
      </c>
      <c r="B87" s="2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</row>
    <row r="88" ht="15.75" customHeight="1">
      <c r="A88" s="2" t="s">
        <v>7</v>
      </c>
      <c r="B88" s="2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</row>
    <row r="89" ht="15.75" customHeight="1">
      <c r="A89" s="2" t="s">
        <v>26</v>
      </c>
      <c r="B89" s="2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</row>
    <row r="90" ht="15.75" customHeight="1">
      <c r="A90" s="2" t="s">
        <v>20</v>
      </c>
      <c r="B90" s="2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</row>
    <row r="91" ht="15.75" customHeight="1">
      <c r="A91" s="2" t="s">
        <v>17</v>
      </c>
      <c r="B91" s="2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</row>
    <row r="92" ht="15.75" customHeight="1">
      <c r="A92" s="2" t="s">
        <v>7</v>
      </c>
      <c r="B92" s="2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</row>
    <row r="93" ht="15.75" customHeight="1">
      <c r="A93" s="2" t="s">
        <v>24</v>
      </c>
      <c r="B93" s="2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</row>
    <row r="94" ht="15.75" customHeight="1">
      <c r="A94" s="2" t="s">
        <v>24</v>
      </c>
      <c r="B94" s="2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</row>
    <row r="95" ht="15.75" customHeight="1">
      <c r="A95" s="2" t="s">
        <v>26</v>
      </c>
      <c r="B95" s="2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</row>
    <row r="96" ht="15.75" customHeight="1">
      <c r="A96" s="2" t="s">
        <v>19</v>
      </c>
      <c r="B96" s="2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</row>
    <row r="97" ht="15.75" customHeight="1">
      <c r="A97" s="2" t="s">
        <v>17</v>
      </c>
      <c r="B97" s="2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</row>
    <row r="98" ht="15.75" customHeight="1">
      <c r="A98" s="2" t="s">
        <v>30</v>
      </c>
      <c r="B98" s="2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</row>
    <row r="99" ht="15.75" customHeight="1">
      <c r="A99" s="2" t="s">
        <v>30</v>
      </c>
      <c r="B99" s="2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</row>
    <row r="100" ht="15.75" customHeight="1">
      <c r="A100" s="2" t="s">
        <v>24</v>
      </c>
      <c r="B100" s="2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</row>
    <row r="101" ht="15.75" customHeight="1">
      <c r="A101" s="2" t="s">
        <v>10</v>
      </c>
      <c r="B101" s="2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</row>
    <row r="102" ht="15.75" customHeight="1">
      <c r="A102" s="2" t="s">
        <v>24</v>
      </c>
      <c r="B102" s="2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</row>
    <row r="103" ht="15.75" customHeight="1">
      <c r="A103" s="2" t="s">
        <v>13</v>
      </c>
      <c r="B103" s="2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</row>
    <row r="104" ht="15.75" customHeight="1">
      <c r="A104" s="2" t="s">
        <v>20</v>
      </c>
      <c r="B104" s="2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</row>
    <row r="105" ht="15.75" customHeight="1">
      <c r="A105" s="2" t="s">
        <v>20</v>
      </c>
      <c r="B105" s="2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</row>
    <row r="106" ht="15.75" customHeight="1">
      <c r="A106" s="2" t="s">
        <v>26</v>
      </c>
      <c r="B106" s="2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</row>
    <row r="107" ht="15.75" customHeight="1">
      <c r="A107" s="2" t="s">
        <v>26</v>
      </c>
      <c r="B107" s="2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</row>
    <row r="108" ht="15.75" customHeight="1">
      <c r="A108" s="2" t="s">
        <v>24</v>
      </c>
      <c r="B108" s="2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</row>
    <row r="109" ht="15.75" customHeight="1">
      <c r="A109" s="2" t="s">
        <v>15</v>
      </c>
      <c r="B109" s="2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</row>
    <row r="110" ht="15.75" customHeight="1">
      <c r="A110" s="2" t="s">
        <v>30</v>
      </c>
      <c r="B110" s="2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</row>
    <row r="111" ht="15.75" customHeight="1">
      <c r="A111" s="2" t="s">
        <v>26</v>
      </c>
      <c r="B111" s="2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</row>
    <row r="112" ht="15.75" customHeight="1">
      <c r="A112" s="2" t="s">
        <v>7</v>
      </c>
      <c r="B112" s="2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</row>
    <row r="113" ht="15.75" customHeight="1">
      <c r="A113" s="2" t="s">
        <v>15</v>
      </c>
      <c r="B113" s="2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</row>
    <row r="114" ht="15.75" customHeight="1">
      <c r="A114" s="2" t="s">
        <v>13</v>
      </c>
      <c r="B114" s="2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</row>
    <row r="115" ht="15.75" customHeight="1">
      <c r="A115" s="2" t="s">
        <v>15</v>
      </c>
      <c r="B115" s="2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</row>
    <row r="116" ht="15.75" customHeight="1">
      <c r="A116" s="2" t="s">
        <v>10</v>
      </c>
      <c r="B116" s="2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</row>
    <row r="117" ht="15.75" customHeight="1">
      <c r="A117" s="2" t="s">
        <v>19</v>
      </c>
      <c r="B117" s="2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</row>
    <row r="118" ht="15.75" customHeight="1">
      <c r="A118" s="2" t="s">
        <v>10</v>
      </c>
      <c r="B118" s="2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</row>
    <row r="119" ht="15.75" customHeight="1">
      <c r="A119" s="2" t="s">
        <v>26</v>
      </c>
      <c r="B119" s="2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</row>
    <row r="120" ht="15.75" customHeight="1">
      <c r="A120" s="2" t="s">
        <v>15</v>
      </c>
      <c r="B120" s="2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</row>
    <row r="121" ht="15.75" customHeight="1">
      <c r="A121" s="2" t="s">
        <v>17</v>
      </c>
      <c r="B121" s="2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</row>
    <row r="122" ht="15.75" customHeight="1">
      <c r="A122" s="2" t="s">
        <v>20</v>
      </c>
      <c r="B122" s="2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</row>
    <row r="123" ht="15.75" customHeight="1">
      <c r="A123" s="2" t="s">
        <v>13</v>
      </c>
      <c r="B123" s="2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</row>
    <row r="124" ht="15.75" customHeight="1">
      <c r="A124" s="2" t="s">
        <v>13</v>
      </c>
      <c r="B124" s="2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</row>
    <row r="125" ht="15.75" customHeight="1">
      <c r="A125" s="2" t="s">
        <v>15</v>
      </c>
      <c r="B125" s="2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</row>
    <row r="126" ht="15.75" customHeight="1">
      <c r="A126" s="2" t="s">
        <v>24</v>
      </c>
      <c r="B126" s="2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</row>
    <row r="127" ht="15.75" customHeight="1">
      <c r="A127" s="2" t="s">
        <v>20</v>
      </c>
      <c r="B127" s="2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</row>
    <row r="128" ht="15.75" customHeight="1">
      <c r="A128" s="2" t="s">
        <v>24</v>
      </c>
      <c r="B128" s="2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</row>
    <row r="129" ht="15.75" customHeight="1">
      <c r="A129" s="2" t="s">
        <v>20</v>
      </c>
      <c r="B129" s="2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</row>
    <row r="130" ht="15.75" customHeight="1">
      <c r="A130" s="2" t="s">
        <v>17</v>
      </c>
      <c r="B130" s="2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</row>
    <row r="131" ht="15.75" customHeight="1">
      <c r="A131" s="2" t="s">
        <v>26</v>
      </c>
      <c r="B131" s="2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</row>
    <row r="132" ht="15.75" customHeight="1">
      <c r="A132" s="2" t="s">
        <v>17</v>
      </c>
      <c r="B132" s="2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</row>
    <row r="133" ht="15.75" customHeight="1">
      <c r="A133" s="2" t="s">
        <v>13</v>
      </c>
      <c r="B133" s="2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</row>
    <row r="134" ht="15.75" customHeight="1">
      <c r="A134" s="2" t="s">
        <v>26</v>
      </c>
      <c r="B134" s="2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</row>
    <row r="135" ht="15.75" customHeight="1">
      <c r="A135" s="2" t="s">
        <v>17</v>
      </c>
      <c r="B135" s="2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</row>
    <row r="136" ht="15.75" customHeight="1">
      <c r="A136" s="2" t="s">
        <v>24</v>
      </c>
      <c r="B136" s="2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</row>
    <row r="137" ht="15.75" customHeight="1">
      <c r="A137" s="2" t="s">
        <v>17</v>
      </c>
      <c r="B137" s="2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</row>
    <row r="138" ht="15.75" customHeight="1">
      <c r="A138" s="2" t="s">
        <v>20</v>
      </c>
      <c r="B138" s="2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</row>
    <row r="139" ht="15.75" customHeight="1">
      <c r="A139" s="2" t="s">
        <v>26</v>
      </c>
      <c r="B139" s="2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</row>
    <row r="140" ht="15.75" customHeight="1">
      <c r="A140" s="2" t="s">
        <v>15</v>
      </c>
      <c r="B140" s="2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</row>
    <row r="141" ht="15.75" customHeight="1">
      <c r="A141" s="2" t="s">
        <v>26</v>
      </c>
      <c r="B141" s="2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</row>
    <row r="142" ht="15.75" customHeight="1">
      <c r="A142" s="2" t="s">
        <v>20</v>
      </c>
      <c r="B142" s="2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</row>
    <row r="143" ht="15.75" customHeight="1">
      <c r="A143" s="2" t="s">
        <v>17</v>
      </c>
      <c r="B143" s="2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</row>
    <row r="144" ht="15.75" customHeight="1">
      <c r="A144" s="2" t="s">
        <v>24</v>
      </c>
      <c r="B144" s="2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</row>
    <row r="145" ht="15.75" customHeight="1">
      <c r="A145" s="2" t="s">
        <v>30</v>
      </c>
      <c r="B145" s="2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</row>
    <row r="146" ht="15.75" customHeight="1">
      <c r="A146" s="2" t="s">
        <v>13</v>
      </c>
      <c r="B146" s="2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</row>
    <row r="147" ht="15.75" customHeight="1">
      <c r="A147" s="2" t="s">
        <v>7</v>
      </c>
      <c r="B147" s="2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</row>
    <row r="148" ht="15.75" customHeight="1">
      <c r="A148" s="2" t="s">
        <v>7</v>
      </c>
      <c r="B148" s="2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</row>
    <row r="149" ht="15.75" customHeight="1">
      <c r="A149" s="2" t="s">
        <v>17</v>
      </c>
      <c r="B149" s="2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</row>
    <row r="150" ht="15.75" customHeight="1">
      <c r="A150" s="2" t="s">
        <v>19</v>
      </c>
      <c r="B150" s="2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</row>
    <row r="151" ht="15.75" customHeight="1">
      <c r="A151" s="2" t="s">
        <v>20</v>
      </c>
      <c r="B151" s="2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</row>
    <row r="152" ht="15.75" customHeight="1">
      <c r="A152" s="2" t="s">
        <v>17</v>
      </c>
      <c r="B152" s="2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</row>
    <row r="153" ht="15.75" customHeight="1">
      <c r="A153" s="2" t="s">
        <v>19</v>
      </c>
      <c r="B153" s="2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</row>
    <row r="154" ht="15.75" customHeight="1">
      <c r="A154" s="2" t="s">
        <v>13</v>
      </c>
      <c r="B154" s="2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</row>
    <row r="155" ht="15.75" customHeight="1">
      <c r="A155" s="2" t="s">
        <v>10</v>
      </c>
      <c r="B155" s="2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</row>
    <row r="156" ht="15.75" customHeight="1">
      <c r="A156" s="2" t="s">
        <v>26</v>
      </c>
      <c r="B156" s="2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</row>
    <row r="157" ht="15.75" customHeight="1">
      <c r="A157" s="2" t="s">
        <v>30</v>
      </c>
      <c r="B157" s="2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</row>
    <row r="158" ht="15.75" customHeight="1">
      <c r="A158" s="2" t="s">
        <v>15</v>
      </c>
      <c r="B158" s="2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</row>
    <row r="159" ht="15.75" customHeight="1">
      <c r="A159" s="2" t="s">
        <v>24</v>
      </c>
      <c r="B159" s="2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</row>
    <row r="160" ht="15.75" customHeight="1">
      <c r="A160" s="2" t="s">
        <v>24</v>
      </c>
      <c r="B160" s="2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</row>
    <row r="161" ht="15.75" customHeight="1">
      <c r="A161" s="2" t="s">
        <v>24</v>
      </c>
      <c r="B161" s="2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</row>
    <row r="162" ht="15.75" customHeight="1">
      <c r="A162" s="2" t="s">
        <v>26</v>
      </c>
      <c r="B162" s="2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</row>
    <row r="163" ht="15.75" customHeight="1">
      <c r="A163" s="2" t="s">
        <v>7</v>
      </c>
      <c r="B163" s="2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</row>
    <row r="164" ht="15.75" customHeight="1">
      <c r="A164" s="2" t="s">
        <v>10</v>
      </c>
      <c r="B164" s="2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</row>
    <row r="165" ht="15.75" customHeight="1">
      <c r="A165" s="2" t="s">
        <v>20</v>
      </c>
      <c r="B165" s="2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</row>
    <row r="166" ht="15.75" customHeight="1">
      <c r="A166" s="2" t="s">
        <v>7</v>
      </c>
      <c r="B166" s="2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</row>
    <row r="167" ht="15.75" customHeight="1">
      <c r="A167" s="2" t="s">
        <v>13</v>
      </c>
      <c r="B167" s="2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</row>
    <row r="168" ht="15.75" customHeight="1">
      <c r="A168" s="2" t="s">
        <v>7</v>
      </c>
      <c r="B168" s="2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</row>
    <row r="169" ht="15.75" customHeight="1">
      <c r="A169" s="2" t="s">
        <v>13</v>
      </c>
      <c r="B169" s="2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</row>
    <row r="170" ht="15.75" customHeight="1">
      <c r="A170" s="2" t="s">
        <v>15</v>
      </c>
      <c r="B170" s="2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</row>
    <row r="171" ht="15.75" customHeight="1">
      <c r="A171" s="2" t="s">
        <v>20</v>
      </c>
      <c r="B171" s="2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</row>
    <row r="172" ht="15.75" customHeight="1">
      <c r="A172" s="2" t="s">
        <v>30</v>
      </c>
      <c r="B172" s="2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</row>
    <row r="173" ht="15.75" customHeight="1">
      <c r="A173" s="2" t="s">
        <v>15</v>
      </c>
      <c r="B173" s="2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</row>
    <row r="174" ht="15.75" customHeight="1">
      <c r="A174" s="2" t="s">
        <v>7</v>
      </c>
      <c r="B174" s="2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</row>
    <row r="175" ht="15.75" customHeight="1">
      <c r="A175" s="2" t="s">
        <v>26</v>
      </c>
      <c r="B175" s="2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</row>
    <row r="176" ht="15.75" customHeight="1">
      <c r="A176" s="2" t="s">
        <v>13</v>
      </c>
      <c r="B176" s="2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</row>
    <row r="177" ht="15.75" customHeight="1">
      <c r="A177" s="2" t="s">
        <v>19</v>
      </c>
      <c r="B177" s="2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</row>
    <row r="178" ht="15.75" customHeight="1">
      <c r="A178" s="2" t="s">
        <v>7</v>
      </c>
      <c r="B178" s="2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</row>
    <row r="179" ht="15.75" customHeight="1">
      <c r="A179" s="2" t="s">
        <v>10</v>
      </c>
      <c r="B179" s="2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</row>
    <row r="180" ht="15.75" customHeight="1">
      <c r="A180" s="2" t="s">
        <v>26</v>
      </c>
      <c r="B180" s="2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</row>
    <row r="181" ht="15.75" customHeight="1">
      <c r="A181" s="2" t="s">
        <v>19</v>
      </c>
      <c r="B181" s="2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</row>
    <row r="182" ht="15.75" customHeight="1">
      <c r="A182" s="2" t="s">
        <v>15</v>
      </c>
      <c r="B182" s="2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</row>
    <row r="183" ht="15.75" customHeight="1">
      <c r="A183" s="2" t="s">
        <v>7</v>
      </c>
      <c r="B183" s="2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</row>
    <row r="184" ht="15.75" customHeight="1">
      <c r="A184" s="2" t="s">
        <v>24</v>
      </c>
      <c r="B184" s="2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</row>
    <row r="185" ht="15.75" customHeight="1">
      <c r="A185" s="2" t="s">
        <v>19</v>
      </c>
      <c r="B185" s="2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</row>
    <row r="186" ht="15.75" customHeight="1">
      <c r="A186" s="2" t="s">
        <v>7</v>
      </c>
      <c r="B186" s="2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</row>
    <row r="187" ht="15.75" customHeight="1">
      <c r="A187" s="2" t="s">
        <v>15</v>
      </c>
      <c r="B187" s="2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</row>
    <row r="188" ht="15.75" customHeight="1">
      <c r="A188" s="2" t="s">
        <v>7</v>
      </c>
      <c r="B188" s="2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</row>
    <row r="189" ht="15.75" customHeight="1">
      <c r="A189" s="2" t="s">
        <v>24</v>
      </c>
      <c r="B189" s="2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</row>
    <row r="190" ht="15.75" customHeight="1">
      <c r="A190" s="2" t="s">
        <v>26</v>
      </c>
      <c r="B190" s="2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</row>
    <row r="191" ht="15.75" customHeight="1">
      <c r="A191" s="2" t="s">
        <v>20</v>
      </c>
      <c r="B191" s="2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</row>
    <row r="192" ht="15.75" customHeight="1">
      <c r="A192" s="2" t="s">
        <v>26</v>
      </c>
      <c r="B192" s="2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</row>
    <row r="193" ht="15.75" customHeight="1">
      <c r="A193" s="2" t="s">
        <v>10</v>
      </c>
      <c r="B193" s="2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</row>
    <row r="194" ht="15.75" customHeight="1">
      <c r="A194" s="2" t="s">
        <v>17</v>
      </c>
      <c r="B194" s="2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</row>
    <row r="195" ht="15.75" customHeight="1">
      <c r="A195" s="2" t="s">
        <v>15</v>
      </c>
      <c r="B195" s="2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</row>
    <row r="196" ht="15.75" customHeight="1">
      <c r="A196" s="2" t="s">
        <v>20</v>
      </c>
      <c r="B196" s="2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</row>
    <row r="197" ht="15.75" customHeight="1">
      <c r="A197" s="2" t="s">
        <v>10</v>
      </c>
      <c r="B197" s="2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</row>
    <row r="198" ht="15.75" customHeight="1">
      <c r="A198" s="2" t="s">
        <v>17</v>
      </c>
      <c r="B198" s="2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</row>
    <row r="199" ht="15.75" customHeight="1">
      <c r="A199" s="2" t="s">
        <v>20</v>
      </c>
      <c r="B199" s="2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</row>
    <row r="200" ht="15.75" customHeight="1">
      <c r="A200" s="2" t="s">
        <v>13</v>
      </c>
      <c r="B200" s="2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</row>
    <row r="201" ht="15.75" customHeight="1">
      <c r="A201" s="2" t="s">
        <v>13</v>
      </c>
      <c r="B201" s="2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01">
    <sortState ref="A1:G201">
      <sortCondition ref="C1:C20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33</v>
      </c>
      <c r="I1" s="4" t="s">
        <v>34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  <c r="H3" s="6">
        <f t="shared" si="1"/>
        <v>4294.146</v>
      </c>
      <c r="I3" s="6">
        <f t="shared" si="2"/>
        <v>821613.268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  <c r="H4" s="6">
        <f t="shared" si="1"/>
        <v>4034.37</v>
      </c>
      <c r="I4" s="6">
        <f t="shared" si="2"/>
        <v>938663.42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  <c r="H5" s="6">
        <f t="shared" si="1"/>
        <v>3160.86</v>
      </c>
      <c r="I5" s="6">
        <f t="shared" si="2"/>
        <v>1601502.4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  <c r="H6" s="6">
        <f t="shared" si="1"/>
        <v>2887.308</v>
      </c>
      <c r="I6" s="6">
        <f t="shared" si="2"/>
        <v>2232851.52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  <c r="H7" s="6">
        <f t="shared" si="1"/>
        <v>4128.618</v>
      </c>
      <c r="I7" s="6">
        <f t="shared" si="2"/>
        <v>1219318.516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  <c r="H8" s="6">
        <f t="shared" si="1"/>
        <v>3911.952</v>
      </c>
      <c r="I8" s="6">
        <f t="shared" si="2"/>
        <v>871061.312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  <c r="H9" s="6">
        <f t="shared" si="1"/>
        <v>4190.538</v>
      </c>
      <c r="I9" s="6">
        <f t="shared" si="2"/>
        <v>1293479.396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  <c r="H12" s="6">
        <f t="shared" si="1"/>
        <v>12464.55</v>
      </c>
      <c r="I12" s="6">
        <f t="shared" si="2"/>
        <v>938996.1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  <c r="H18" s="6">
        <f t="shared" si="1"/>
        <v>709.338</v>
      </c>
      <c r="I18" s="6">
        <f t="shared" si="2"/>
        <v>204289.344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  <c r="H19" s="6">
        <f t="shared" si="1"/>
        <v>695.376</v>
      </c>
      <c r="I19" s="6">
        <f t="shared" si="2"/>
        <v>521532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  <c r="H23" s="6">
        <f t="shared" si="1"/>
        <v>4193.01</v>
      </c>
      <c r="I23" s="6">
        <f t="shared" si="2"/>
        <v>1201996.2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  <c r="H25" s="6">
        <f t="shared" si="1"/>
        <v>789.492</v>
      </c>
      <c r="I25" s="6">
        <f t="shared" si="2"/>
        <v>476326.84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  <c r="H27" s="6">
        <f t="shared" si="1"/>
        <v>3756.57</v>
      </c>
      <c r="I27" s="6">
        <f t="shared" si="2"/>
        <v>994238.86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  <c r="H29" s="6">
        <f t="shared" si="1"/>
        <v>710.034</v>
      </c>
      <c r="I29" s="6">
        <f t="shared" si="2"/>
        <v>242358.272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  <c r="H31" s="6">
        <f t="shared" si="1"/>
        <v>4200.9</v>
      </c>
      <c r="I31" s="6">
        <f t="shared" si="2"/>
        <v>873787.2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  <c r="H33" s="6">
        <f t="shared" si="1"/>
        <v>783.948</v>
      </c>
      <c r="I33" s="6">
        <f t="shared" si="2"/>
        <v>337620.272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  <c r="H35" s="6">
        <f t="shared" si="1"/>
        <v>635.886</v>
      </c>
      <c r="I35" s="6">
        <f t="shared" si="2"/>
        <v>248419.464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  <c r="H36" s="6">
        <f t="shared" si="1"/>
        <v>773.25</v>
      </c>
      <c r="I36" s="6">
        <f t="shared" si="2"/>
        <v>413431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  <c r="H37" s="6">
        <f t="shared" si="1"/>
        <v>3252.66</v>
      </c>
      <c r="I37" s="6">
        <f t="shared" si="2"/>
        <v>2493706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  <c r="H39" s="6">
        <f t="shared" si="1"/>
        <v>633.39</v>
      </c>
      <c r="I39" s="6">
        <f t="shared" si="2"/>
        <v>314583.7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  <c r="H42" s="6">
        <f t="shared" si="1"/>
        <v>679.2</v>
      </c>
      <c r="I42" s="6">
        <f t="shared" si="2"/>
        <v>485401.6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  <c r="H43" s="6">
        <f t="shared" si="1"/>
        <v>733.938</v>
      </c>
      <c r="I43" s="6">
        <f t="shared" si="2"/>
        <v>319507.676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  <c r="H45" s="6">
        <f t="shared" si="1"/>
        <v>671.808</v>
      </c>
      <c r="I45" s="6">
        <f t="shared" si="2"/>
        <v>356953.984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  <c r="H46" s="6">
        <f t="shared" si="1"/>
        <v>745.47</v>
      </c>
      <c r="I46" s="6">
        <f t="shared" si="2"/>
        <v>393111.18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  <c r="H49" s="6">
        <f t="shared" si="1"/>
        <v>4168.89</v>
      </c>
      <c r="I49" s="6">
        <f t="shared" si="2"/>
        <v>961623.96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  <c r="H50" s="6">
        <f t="shared" si="1"/>
        <v>613.002</v>
      </c>
      <c r="I50" s="6">
        <f t="shared" si="2"/>
        <v>252965.492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  <c r="H51" s="6">
        <f t="shared" si="1"/>
        <v>705.414</v>
      </c>
      <c r="I51" s="6">
        <f t="shared" si="2"/>
        <v>351766.448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  <c r="H52" s="6">
        <f t="shared" si="1"/>
        <v>669.192</v>
      </c>
      <c r="I52" s="6">
        <f t="shared" si="2"/>
        <v>229755.92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  <c r="H72" s="6">
        <f t="shared" si="1"/>
        <v>911.22</v>
      </c>
      <c r="I72" s="6">
        <f t="shared" si="2"/>
        <v>377852.56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  <c r="H76" s="6">
        <f t="shared" si="1"/>
        <v>690.816</v>
      </c>
      <c r="I76" s="6">
        <f t="shared" si="2"/>
        <v>315012.096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  <c r="H79" s="6">
        <f t="shared" si="1"/>
        <v>715.278</v>
      </c>
      <c r="I79" s="6">
        <f t="shared" si="2"/>
        <v>281819.532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  <c r="H83" s="6">
        <f t="shared" si="1"/>
        <v>715.41</v>
      </c>
      <c r="I83" s="6">
        <f t="shared" si="2"/>
        <v>379167.3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0"/>
    <col customWidth="1" min="3" max="3" width="21.0"/>
    <col customWidth="1" min="4" max="4" width="16.86"/>
    <col customWidth="1" min="5" max="5" width="19.29"/>
    <col customWidth="1" min="6" max="6" width="23.14"/>
    <col customWidth="1" min="7" max="7" width="20.86"/>
    <col customWidth="1" min="8" max="8" width="17.57"/>
    <col customWidth="1" min="9" max="9" width="21.43"/>
  </cols>
  <sheetData>
    <row r="1">
      <c r="A1" s="8"/>
      <c r="B1" s="9" t="s">
        <v>35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1" t="s">
        <v>36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2" t="s">
        <v>1</v>
      </c>
      <c r="C5" s="13" t="s">
        <v>37</v>
      </c>
      <c r="D5" s="14" t="s">
        <v>38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5" t="s">
        <v>31</v>
      </c>
      <c r="C6" s="6">
        <f>GETPIVOTDATA("Total_Sales",'Pivot Table 1'!B4,"Monthly Trend", $B6)</f>
        <v>41857858</v>
      </c>
      <c r="D6" s="16">
        <f>GETPIVOTDATA("Contribution_Margin",'Pivot Table 1'!C2,"Monthly Trend",$B6)</f>
        <v>16743142.66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5" t="s">
        <v>32</v>
      </c>
      <c r="C7" s="6">
        <f>GETPIVOTDATA("Total_Sales",'Pivot Table 1'!B5,"Monthly Trend", $B7)</f>
        <v>55905036</v>
      </c>
      <c r="D7" s="16">
        <f>GETPIVOTDATA("Contribution_Margin",'Pivot Table 1'!C3,"Monthly Trend",$B7)</f>
        <v>22362014.78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5" t="s">
        <v>28</v>
      </c>
      <c r="C8" s="6">
        <f>GETPIVOTDATA("Total_Sales",'Pivot Table 1'!B6,"Monthly Trend", $B8)</f>
        <v>45259129</v>
      </c>
      <c r="D8" s="16">
        <f>GETPIVOTDATA("Contribution_Margin",'Pivot Table 1'!C4,"Monthly Trend",$B8)</f>
        <v>18103652.2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5" t="s">
        <v>8</v>
      </c>
      <c r="C9" s="6">
        <f>GETPIVOTDATA("Total_Sales",'Pivot Table 1'!B7,"Monthly Trend", $B9)</f>
        <v>63959180</v>
      </c>
      <c r="D9" s="16">
        <f>GETPIVOTDATA("Contribution_Margin",'Pivot Table 1'!C5,"Monthly Trend",$B9)</f>
        <v>25583672.42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5" t="s">
        <v>18</v>
      </c>
      <c r="C10" s="6">
        <f>GETPIVOTDATA("Total_Sales",'Pivot Table 1'!B2,"Monthly Trend", $B10)</f>
        <v>57749181</v>
      </c>
      <c r="D10" s="16">
        <f>GETPIVOTDATA("Contribution_Margin",'Pivot Table 1'!C6,"Monthly Trend",$B10)</f>
        <v>23099674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5" t="s">
        <v>22</v>
      </c>
      <c r="C11" s="6">
        <f>GETPIVOTDATA("Total_Sales",'Pivot Table 1'!B8,"Monthly Trend", $B11)</f>
        <v>68413072</v>
      </c>
      <c r="D11" s="16">
        <f>GETPIVOTDATA("Contribution_Margin",'Pivot Table 1'!C7,"Monthly Trend",$B11)</f>
        <v>27365231.97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5" t="s">
        <v>11</v>
      </c>
      <c r="C12" s="6">
        <f>GETPIVOTDATA("Total_Sales",'Pivot Table 1'!B9,"Monthly Trend", $B12)</f>
        <v>49702035</v>
      </c>
      <c r="D12" s="16">
        <f>GETPIVOTDATA("Contribution_Margin",'Pivot Table 1'!C8,"Monthly Trend",$B12)</f>
        <v>19880812.44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5" t="s">
        <v>14</v>
      </c>
      <c r="C13" s="6">
        <f>GETPIVOTDATA("Total_Sales",'Pivot Table 1'!B3,"Monthly Trend", $B13)</f>
        <v>53305738</v>
      </c>
      <c r="D13" s="16">
        <f>GETPIVOTDATA("Contribution_Margin",'Pivot Table 1'!C9,"Monthly Trend",$B13)</f>
        <v>21322296.28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5" t="s">
        <v>25</v>
      </c>
      <c r="C14" s="6">
        <f>GETPIVOTDATA("Total_Sales",'Pivot Table 1'!B10,"Monthly Trend", $B14)</f>
        <v>38545556</v>
      </c>
      <c r="D14" s="16">
        <f>GETPIVOTDATA("Contribution_Margin",'Pivot Table 1'!C10,"Monthly Trend",$B14)</f>
        <v>15418218.54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5" t="s">
        <v>23</v>
      </c>
      <c r="C15" s="6">
        <f>GETPIVOTDATA("Total_Sales",'Pivot Table 1'!B11,"Monthly Trend", $B15)</f>
        <v>53716083</v>
      </c>
      <c r="D15" s="16">
        <f>GETPIVOTDATA("Contribution_Margin",'Pivot Table 1'!C11,"Monthly Trend",$B15)</f>
        <v>21486434.98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5" t="s">
        <v>29</v>
      </c>
      <c r="C16" s="6">
        <f>GETPIVOTDATA("Total_Sales",'Pivot Table 1'!B12,"Monthly Trend", $B16)</f>
        <v>48388670</v>
      </c>
      <c r="D16" s="16">
        <f>GETPIVOTDATA("Contribution_Margin",'Pivot Table 1'!C12,"Monthly Trend",$B16)</f>
        <v>19355469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7" t="s">
        <v>16</v>
      </c>
      <c r="C17" s="18">
        <f>GETPIVOTDATA("Total_Sales",'Pivot Table 1'!B13,"Monthly Trend", $B17)</f>
        <v>59263858</v>
      </c>
      <c r="D17" s="19">
        <f>GETPIVOTDATA("Contribution_Margin",'Pivot Table 1'!C13,"Monthly Trend",$B17)</f>
        <v>23705543.08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2" t="s">
        <v>39</v>
      </c>
      <c r="C19" s="13" t="s">
        <v>40</v>
      </c>
      <c r="D19" s="14" t="s">
        <v>41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20" t="s">
        <v>27</v>
      </c>
      <c r="C20" s="21">
        <f>'Pivot Table 1'!B32/'Pivot Table 1'!C32</f>
        <v>1214.22699</v>
      </c>
      <c r="D20" s="22">
        <f>'Pivot Table 1'!$C32/'Pivot Table 1'!$D32</f>
        <v>1.214013206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20" t="s">
        <v>21</v>
      </c>
      <c r="C21" s="21">
        <f>'Pivot Table 1'!B33/'Pivot Table 1'!C33</f>
        <v>21312.88417</v>
      </c>
      <c r="D21" s="22">
        <f>'Pivot Table 1'!$C33/'Pivot Table 1'!$D33</f>
        <v>1.210469426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20" t="s">
        <v>9</v>
      </c>
      <c r="C22" s="21">
        <f>'Pivot Table 1'!B34/'Pivot Table 1'!C34</f>
        <v>5304.890275</v>
      </c>
      <c r="D22" s="22">
        <f>'Pivot Table 1'!$C34/'Pivot Table 1'!$D34</f>
        <v>1.213523852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23" t="s">
        <v>12</v>
      </c>
      <c r="C23" s="24">
        <f>'Pivot Table 1'!B35/'Pivot Table 1'!C35</f>
        <v>6757.851398</v>
      </c>
      <c r="D23" s="25">
        <f>'Pivot Table 1'!$C35/'Pivot Table 1'!$D35</f>
        <v>1.211086475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26" t="s">
        <v>42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1" t="s">
        <v>43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27" t="s">
        <v>44</v>
      </c>
      <c r="C29" s="28" t="s">
        <v>45</v>
      </c>
      <c r="D29" s="10"/>
      <c r="E29" s="27" t="s">
        <v>46</v>
      </c>
      <c r="F29" s="29" t="s">
        <v>47</v>
      </c>
      <c r="G29" s="29" t="s">
        <v>48</v>
      </c>
      <c r="H29" s="29" t="s">
        <v>49</v>
      </c>
      <c r="I29" s="28" t="s">
        <v>50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30" t="s">
        <v>51</v>
      </c>
      <c r="C30" s="31" t="s">
        <v>52</v>
      </c>
      <c r="D30" s="10"/>
      <c r="E30" s="32" t="s">
        <v>53</v>
      </c>
      <c r="F30" s="33">
        <f>SUM('Aggregated Dataset'!F2:F201)</f>
        <v>636065396</v>
      </c>
      <c r="G30" s="33">
        <f>SUM('What If-Best Case Scenario'!L2:L201)</f>
        <v>646848420.7</v>
      </c>
      <c r="H30" s="33">
        <f>SUM('What If- Expected Case Scenario'!L2:L201)</f>
        <v>635202764.7</v>
      </c>
      <c r="I30" s="34">
        <f>SUM('What If- Worst Case Scenario'!L2:L201)</f>
        <v>627438994.1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30" t="s">
        <v>54</v>
      </c>
      <c r="C31" s="31" t="s">
        <v>55</v>
      </c>
      <c r="D31" s="10"/>
      <c r="E31" s="35" t="s">
        <v>56</v>
      </c>
      <c r="F31" s="36">
        <f>SUM('Aggregated Dataset'!I2:I201)</f>
        <v>254426162.4</v>
      </c>
      <c r="G31" s="36">
        <f>SUM('What If-Best Case Scenario'!M2:M201)</f>
        <v>252269559.4</v>
      </c>
      <c r="H31" s="36">
        <f>SUM('What If- Expected Case Scenario'!M2:M201)</f>
        <v>248387674.1</v>
      </c>
      <c r="I31" s="37">
        <f>SUM('What If- Worst Case Scenario'!M2:M201)</f>
        <v>245799750.6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38" t="s">
        <v>57</v>
      </c>
      <c r="C32" s="39" t="s">
        <v>58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10"/>
      <c r="B34" s="27" t="s">
        <v>59</v>
      </c>
      <c r="C34" s="28" t="s">
        <v>60</v>
      </c>
      <c r="E34" s="27" t="s">
        <v>59</v>
      </c>
      <c r="F34" s="28" t="s">
        <v>61</v>
      </c>
      <c r="G34" s="10"/>
      <c r="H34" s="27" t="s">
        <v>59</v>
      </c>
      <c r="I34" s="28" t="s">
        <v>62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30" t="s">
        <v>63</v>
      </c>
      <c r="C35" s="40">
        <f t="shared" ref="C35:C36" si="1">G30-F30</f>
        <v>10783024.69</v>
      </c>
      <c r="E35" s="30" t="s">
        <v>63</v>
      </c>
      <c r="F35" s="40">
        <f t="shared" ref="F35:F36" si="2">H30-F30</f>
        <v>-862631.2507</v>
      </c>
      <c r="G35" s="10"/>
      <c r="H35" s="30" t="s">
        <v>63</v>
      </c>
      <c r="I35" s="40">
        <f t="shared" ref="I35:I36" si="3">I30-F30</f>
        <v>-8626401.877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38" t="s">
        <v>64</v>
      </c>
      <c r="C36" s="41">
        <f t="shared" si="1"/>
        <v>-2156602.952</v>
      </c>
      <c r="E36" s="38" t="s">
        <v>64</v>
      </c>
      <c r="F36" s="41">
        <f t="shared" si="2"/>
        <v>-6038488.265</v>
      </c>
      <c r="G36" s="10"/>
      <c r="H36" s="38" t="s">
        <v>64</v>
      </c>
      <c r="I36" s="41">
        <f t="shared" si="3"/>
        <v>-8626411.807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42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8.5" customHeight="1">
      <c r="A39" s="10"/>
      <c r="B39" s="27" t="s">
        <v>44</v>
      </c>
      <c r="C39" s="29" t="s">
        <v>65</v>
      </c>
      <c r="D39" s="29" t="s">
        <v>63</v>
      </c>
      <c r="E39" s="28" t="s">
        <v>64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8.5" customHeight="1">
      <c r="A40" s="10"/>
      <c r="B40" s="32" t="s">
        <v>66</v>
      </c>
      <c r="C40" s="43" t="s">
        <v>67</v>
      </c>
      <c r="D40" s="44">
        <v>1.078302469E7</v>
      </c>
      <c r="E40" s="45">
        <v>-2156602.95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8.5" customHeight="1">
      <c r="A41" s="10"/>
      <c r="B41" s="32" t="s">
        <v>68</v>
      </c>
      <c r="C41" s="43" t="s">
        <v>69</v>
      </c>
      <c r="D41" s="44">
        <v>-862631.25</v>
      </c>
      <c r="E41" s="45">
        <v>-6038488.26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8.5" customHeight="1">
      <c r="A42" s="10"/>
      <c r="B42" s="35" t="s">
        <v>70</v>
      </c>
      <c r="C42" s="46">
        <v>0.0</v>
      </c>
      <c r="D42" s="47">
        <v>-8626401.88</v>
      </c>
      <c r="E42" s="48">
        <v>-8626411.81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49" t="s">
        <v>71</v>
      </c>
      <c r="C44" s="50"/>
      <c r="D44" s="50"/>
      <c r="E44" s="50"/>
      <c r="F44" s="50"/>
      <c r="G44" s="50"/>
      <c r="H44" s="50"/>
      <c r="I44" s="5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52"/>
      <c r="I45" s="53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52"/>
      <c r="I46" s="5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52"/>
      <c r="I47" s="5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52"/>
      <c r="I48" s="53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52"/>
      <c r="I49" s="53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52"/>
      <c r="I50" s="53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52"/>
      <c r="I51" s="53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52"/>
      <c r="I52" s="53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54"/>
      <c r="C53" s="55"/>
      <c r="D53" s="55"/>
      <c r="E53" s="55"/>
      <c r="F53" s="55"/>
      <c r="G53" s="55"/>
      <c r="H53" s="55"/>
      <c r="I53" s="56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1"/>
      <c r="C54" s="11"/>
      <c r="D54" s="11"/>
      <c r="E54" s="11"/>
      <c r="F54" s="11"/>
      <c r="G54" s="11"/>
      <c r="H54" s="11"/>
      <c r="I54" s="1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26" t="s">
        <v>72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1"/>
      <c r="C56" s="11"/>
      <c r="D56" s="11"/>
      <c r="E56" s="11"/>
      <c r="F56" s="11"/>
      <c r="G56" s="11"/>
      <c r="H56" s="11"/>
      <c r="I56" s="1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0"/>
      <c r="B57" s="27" t="s">
        <v>44</v>
      </c>
      <c r="C57" s="29" t="s">
        <v>73</v>
      </c>
      <c r="D57" s="29" t="s">
        <v>74</v>
      </c>
      <c r="E57" s="28" t="s">
        <v>75</v>
      </c>
      <c r="F57" s="11"/>
      <c r="G57" s="11"/>
      <c r="H57" s="11"/>
      <c r="I57" s="1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0"/>
      <c r="B58" s="32" t="s">
        <v>76</v>
      </c>
      <c r="C58" s="43" t="s">
        <v>77</v>
      </c>
      <c r="D58" s="43" t="s">
        <v>78</v>
      </c>
      <c r="E58" s="57" t="s">
        <v>79</v>
      </c>
      <c r="F58" s="11"/>
      <c r="G58" s="11"/>
      <c r="H58" s="11"/>
      <c r="I58" s="1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0"/>
      <c r="B59" s="32" t="s">
        <v>80</v>
      </c>
      <c r="C59" s="43" t="s">
        <v>81</v>
      </c>
      <c r="D59" s="43" t="s">
        <v>82</v>
      </c>
      <c r="E59" s="57" t="s">
        <v>82</v>
      </c>
      <c r="F59" s="11"/>
      <c r="G59" s="11"/>
      <c r="H59" s="11"/>
      <c r="I59" s="1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0"/>
      <c r="B60" s="35" t="s">
        <v>83</v>
      </c>
      <c r="C60" s="58" t="s">
        <v>84</v>
      </c>
      <c r="D60" s="58" t="s">
        <v>85</v>
      </c>
      <c r="E60" s="59" t="s">
        <v>78</v>
      </c>
      <c r="F60" s="11"/>
      <c r="G60" s="11"/>
      <c r="H60" s="11"/>
      <c r="I60" s="1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1"/>
      <c r="C61" s="11"/>
      <c r="D61" s="11"/>
      <c r="E61" s="11"/>
      <c r="F61" s="11"/>
      <c r="G61" s="11"/>
      <c r="H61" s="11"/>
      <c r="I61" s="1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27" t="s">
        <v>46</v>
      </c>
      <c r="C63" s="29" t="s">
        <v>47</v>
      </c>
      <c r="D63" s="29" t="s">
        <v>86</v>
      </c>
      <c r="E63" s="29" t="s">
        <v>87</v>
      </c>
      <c r="F63" s="28" t="s">
        <v>88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32" t="s">
        <v>53</v>
      </c>
      <c r="C64" s="33">
        <f>SUM('Aggregated Dataset'!F2:F201)</f>
        <v>636065396</v>
      </c>
      <c r="D64" s="33">
        <f>SUM('Growth Scenario Analysis'!M2:M201)</f>
        <v>801442411.5</v>
      </c>
      <c r="E64" s="33">
        <f>SUM('Conservative Scenario Analysis'!M2:M201)</f>
        <v>636065405.9</v>
      </c>
      <c r="F64" s="34">
        <f>SUM('Downturn Scenario Analysis'!M2:M201)</f>
        <v>486590035.5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35" t="s">
        <v>56</v>
      </c>
      <c r="C65" s="36">
        <f>SUM('Aggregated Dataset'!I2:I201)</f>
        <v>254426162.4</v>
      </c>
      <c r="D65" s="36">
        <f>SUM('Growth Scenario Analysis'!N2:N201)</f>
        <v>343475319.2</v>
      </c>
      <c r="E65" s="36">
        <f>SUM('Conservative Scenario Analysis'!N2:N201)</f>
        <v>254426162.4</v>
      </c>
      <c r="F65" s="37">
        <f>SUM('Downturn Scenario Analysis'!N2:N201)</f>
        <v>145977010.7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27" t="s">
        <v>44</v>
      </c>
      <c r="C68" s="29" t="s">
        <v>73</v>
      </c>
      <c r="D68" s="29" t="s">
        <v>74</v>
      </c>
      <c r="E68" s="29" t="s">
        <v>75</v>
      </c>
      <c r="F68" s="29" t="s">
        <v>63</v>
      </c>
      <c r="G68" s="28" t="s">
        <v>64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32" t="s">
        <v>76</v>
      </c>
      <c r="C69" s="60" t="s">
        <v>89</v>
      </c>
      <c r="D69" s="60" t="s">
        <v>90</v>
      </c>
      <c r="E69" s="61">
        <v>0.0</v>
      </c>
      <c r="F69" s="62">
        <f>D64-C64</f>
        <v>165377015.5</v>
      </c>
      <c r="G69" s="63">
        <f>D65-C65</f>
        <v>89049156.83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32" t="s">
        <v>80</v>
      </c>
      <c r="C70" s="61">
        <v>0.0</v>
      </c>
      <c r="D70" s="61">
        <v>0.0</v>
      </c>
      <c r="E70" s="61">
        <v>0.0</v>
      </c>
      <c r="F70" s="62">
        <f>E64-C64</f>
        <v>9.929999948</v>
      </c>
      <c r="G70" s="63">
        <f>E65-C65</f>
        <v>0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35" t="s">
        <v>83</v>
      </c>
      <c r="C71" s="64" t="s">
        <v>91</v>
      </c>
      <c r="D71" s="64" t="s">
        <v>92</v>
      </c>
      <c r="E71" s="64" t="s">
        <v>90</v>
      </c>
      <c r="F71" s="65">
        <f>F64-C64</f>
        <v>-149475360.5</v>
      </c>
      <c r="G71" s="66">
        <f>F65-C65</f>
        <v>-108449151.7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49" t="s">
        <v>93</v>
      </c>
      <c r="C73" s="50"/>
      <c r="D73" s="50"/>
      <c r="E73" s="50"/>
      <c r="F73" s="50"/>
      <c r="G73" s="50"/>
      <c r="H73" s="5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52"/>
      <c r="H74" s="5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52"/>
      <c r="H75" s="5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52"/>
      <c r="H76" s="5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52"/>
      <c r="H77" s="5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52"/>
      <c r="H78" s="5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52"/>
      <c r="H79" s="5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52"/>
      <c r="H80" s="5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52"/>
      <c r="H81" s="5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52"/>
      <c r="H82" s="5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52"/>
      <c r="H83" s="5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52"/>
      <c r="H84" s="5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52"/>
      <c r="H85" s="5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52"/>
      <c r="H86" s="5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52"/>
      <c r="H87" s="5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52"/>
      <c r="H88" s="5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54"/>
      <c r="C89" s="55"/>
      <c r="D89" s="55"/>
      <c r="E89" s="55"/>
      <c r="F89" s="55"/>
      <c r="G89" s="55"/>
      <c r="H89" s="5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5">
    <mergeCell ref="B1:K1"/>
    <mergeCell ref="B26:K26"/>
    <mergeCell ref="B44:I53"/>
    <mergeCell ref="B55:K55"/>
    <mergeCell ref="B73:H89"/>
  </mergeCells>
  <conditionalFormatting sqref="C6:C1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33</v>
      </c>
      <c r="I1" s="4" t="s">
        <v>34</v>
      </c>
      <c r="J1" s="67" t="s">
        <v>94</v>
      </c>
      <c r="K1" s="4" t="s">
        <v>95</v>
      </c>
      <c r="L1" s="4" t="s">
        <v>96</v>
      </c>
      <c r="M1" s="4" t="s">
        <v>97</v>
      </c>
      <c r="N1" s="4" t="s">
        <v>98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  <c r="J2" s="68">
        <f t="shared" ref="J2:J201" si="3">D2*1.2</f>
        <v>1044</v>
      </c>
      <c r="K2" s="6">
        <f t="shared" ref="K2:K201" si="4">E2*1.05</f>
        <v>5701.017</v>
      </c>
      <c r="L2" s="6">
        <f t="shared" ref="L2:L201" si="5">H2*1</f>
        <v>3257.724</v>
      </c>
      <c r="M2" s="6">
        <f t="shared" ref="M2:M201" si="6">J2*K2</f>
        <v>5951861.748</v>
      </c>
      <c r="N2" s="6">
        <f t="shared" ref="N2:N201" si="7">(K2-L2)*J2</f>
        <v>2550797.892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  <c r="H3" s="6">
        <f t="shared" si="1"/>
        <v>4294.146</v>
      </c>
      <c r="I3" s="6">
        <f t="shared" si="2"/>
        <v>821613.268</v>
      </c>
      <c r="J3" s="68">
        <f t="shared" si="3"/>
        <v>344.4</v>
      </c>
      <c r="K3" s="6">
        <f t="shared" si="4"/>
        <v>7514.7555</v>
      </c>
      <c r="L3" s="6">
        <f t="shared" si="5"/>
        <v>4294.146</v>
      </c>
      <c r="M3" s="6">
        <f t="shared" si="6"/>
        <v>2588081.794</v>
      </c>
      <c r="N3" s="6">
        <f t="shared" si="7"/>
        <v>1109177.912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  <c r="H4" s="6">
        <f t="shared" si="1"/>
        <v>4034.37</v>
      </c>
      <c r="I4" s="6">
        <f t="shared" si="2"/>
        <v>938663.42</v>
      </c>
      <c r="J4" s="68">
        <f t="shared" si="3"/>
        <v>418.8</v>
      </c>
      <c r="K4" s="6">
        <f t="shared" si="4"/>
        <v>7060.1475</v>
      </c>
      <c r="L4" s="6">
        <f t="shared" si="5"/>
        <v>4034.37</v>
      </c>
      <c r="M4" s="6">
        <f t="shared" si="6"/>
        <v>2956789.773</v>
      </c>
      <c r="N4" s="6">
        <f t="shared" si="7"/>
        <v>1267195.617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  <c r="H5" s="6">
        <f t="shared" si="1"/>
        <v>3160.86</v>
      </c>
      <c r="I5" s="6">
        <f t="shared" si="2"/>
        <v>1601502.4</v>
      </c>
      <c r="J5" s="68">
        <f t="shared" si="3"/>
        <v>912</v>
      </c>
      <c r="K5" s="6">
        <f t="shared" si="4"/>
        <v>5531.505</v>
      </c>
      <c r="L5" s="6">
        <f t="shared" si="5"/>
        <v>3160.86</v>
      </c>
      <c r="M5" s="6">
        <f t="shared" si="6"/>
        <v>5044732.56</v>
      </c>
      <c r="N5" s="6">
        <f t="shared" si="7"/>
        <v>2162028.24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  <c r="H6" s="6">
        <f t="shared" si="1"/>
        <v>2887.308</v>
      </c>
      <c r="I6" s="6">
        <f t="shared" si="2"/>
        <v>2232851.52</v>
      </c>
      <c r="J6" s="68">
        <f t="shared" si="3"/>
        <v>1392</v>
      </c>
      <c r="K6" s="6">
        <f t="shared" si="4"/>
        <v>5052.789</v>
      </c>
      <c r="L6" s="6">
        <f t="shared" si="5"/>
        <v>2887.308</v>
      </c>
      <c r="M6" s="6">
        <f t="shared" si="6"/>
        <v>7033482.288</v>
      </c>
      <c r="N6" s="6">
        <f t="shared" si="7"/>
        <v>3014349.552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  <c r="H7" s="6">
        <f t="shared" si="1"/>
        <v>4128.618</v>
      </c>
      <c r="I7" s="6">
        <f t="shared" si="2"/>
        <v>1219318.516</v>
      </c>
      <c r="J7" s="68">
        <f t="shared" si="3"/>
        <v>531.6</v>
      </c>
      <c r="K7" s="6">
        <f t="shared" si="4"/>
        <v>7225.0815</v>
      </c>
      <c r="L7" s="6">
        <f t="shared" si="5"/>
        <v>4128.618</v>
      </c>
      <c r="M7" s="6">
        <f t="shared" si="6"/>
        <v>3840853.325</v>
      </c>
      <c r="N7" s="6">
        <f t="shared" si="7"/>
        <v>1646079.997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  <c r="H8" s="6">
        <f t="shared" si="1"/>
        <v>3911.952</v>
      </c>
      <c r="I8" s="6">
        <f t="shared" si="2"/>
        <v>871061.312</v>
      </c>
      <c r="J8" s="68">
        <f t="shared" si="3"/>
        <v>400.8</v>
      </c>
      <c r="K8" s="6">
        <f t="shared" si="4"/>
        <v>6845.916</v>
      </c>
      <c r="L8" s="6">
        <f t="shared" si="5"/>
        <v>3911.952</v>
      </c>
      <c r="M8" s="6">
        <f t="shared" si="6"/>
        <v>2743843.133</v>
      </c>
      <c r="N8" s="6">
        <f t="shared" si="7"/>
        <v>1175932.771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  <c r="H9" s="6">
        <f t="shared" si="1"/>
        <v>4190.538</v>
      </c>
      <c r="I9" s="6">
        <f t="shared" si="2"/>
        <v>1293479.396</v>
      </c>
      <c r="J9" s="68">
        <f t="shared" si="3"/>
        <v>555.6</v>
      </c>
      <c r="K9" s="6">
        <f t="shared" si="4"/>
        <v>7333.4415</v>
      </c>
      <c r="L9" s="6">
        <f t="shared" si="5"/>
        <v>4190.538</v>
      </c>
      <c r="M9" s="6">
        <f t="shared" si="6"/>
        <v>4074460.097</v>
      </c>
      <c r="N9" s="6">
        <f t="shared" si="7"/>
        <v>1746197.185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  <c r="J10" s="68">
        <f t="shared" si="3"/>
        <v>243.6</v>
      </c>
      <c r="K10" s="6">
        <f t="shared" si="4"/>
        <v>22199.7405</v>
      </c>
      <c r="L10" s="6">
        <f t="shared" si="5"/>
        <v>12685.566</v>
      </c>
      <c r="M10" s="6">
        <f t="shared" si="6"/>
        <v>5407856.786</v>
      </c>
      <c r="N10" s="6">
        <f t="shared" si="7"/>
        <v>2317652.908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  <c r="J11" s="68">
        <f t="shared" si="3"/>
        <v>1201.2</v>
      </c>
      <c r="K11" s="6">
        <f t="shared" si="4"/>
        <v>5885.0925</v>
      </c>
      <c r="L11" s="6">
        <f t="shared" si="5"/>
        <v>3362.91</v>
      </c>
      <c r="M11" s="6">
        <f t="shared" si="6"/>
        <v>7069173.111</v>
      </c>
      <c r="N11" s="6">
        <f t="shared" si="7"/>
        <v>3029645.619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  <c r="H12" s="6">
        <f t="shared" si="1"/>
        <v>12464.55</v>
      </c>
      <c r="I12" s="6">
        <f t="shared" si="2"/>
        <v>938996.1</v>
      </c>
      <c r="J12" s="68">
        <f t="shared" si="3"/>
        <v>135.6</v>
      </c>
      <c r="K12" s="6">
        <f t="shared" si="4"/>
        <v>21812.9625</v>
      </c>
      <c r="L12" s="6">
        <f t="shared" si="5"/>
        <v>12464.55</v>
      </c>
      <c r="M12" s="6">
        <f t="shared" si="6"/>
        <v>2957837.715</v>
      </c>
      <c r="N12" s="6">
        <f t="shared" si="7"/>
        <v>1267644.735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  <c r="J13" s="68">
        <f t="shared" si="3"/>
        <v>1124.4</v>
      </c>
      <c r="K13" s="6">
        <f t="shared" si="4"/>
        <v>5814.6165</v>
      </c>
      <c r="L13" s="6">
        <f t="shared" si="5"/>
        <v>3322.638</v>
      </c>
      <c r="M13" s="6">
        <f t="shared" si="6"/>
        <v>6537954.793</v>
      </c>
      <c r="N13" s="6">
        <f t="shared" si="7"/>
        <v>2801980.625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  <c r="J14" s="68">
        <f t="shared" si="3"/>
        <v>944.4</v>
      </c>
      <c r="K14" s="6">
        <f t="shared" si="4"/>
        <v>5327.5845</v>
      </c>
      <c r="L14" s="6">
        <f t="shared" si="5"/>
        <v>3044.334</v>
      </c>
      <c r="M14" s="6">
        <f t="shared" si="6"/>
        <v>5031370.802</v>
      </c>
      <c r="N14" s="6">
        <f t="shared" si="7"/>
        <v>2156301.772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  <c r="J15" s="68">
        <f t="shared" si="3"/>
        <v>249.6</v>
      </c>
      <c r="K15" s="6">
        <f t="shared" si="4"/>
        <v>7077.3465</v>
      </c>
      <c r="L15" s="6">
        <f t="shared" si="5"/>
        <v>4044.198</v>
      </c>
      <c r="M15" s="6">
        <f t="shared" si="6"/>
        <v>1766505.686</v>
      </c>
      <c r="N15" s="6">
        <f t="shared" si="7"/>
        <v>757073.8656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  <c r="J16" s="68">
        <f t="shared" si="3"/>
        <v>405.6</v>
      </c>
      <c r="K16" s="6">
        <f t="shared" si="4"/>
        <v>7235.4345</v>
      </c>
      <c r="L16" s="6">
        <f t="shared" si="5"/>
        <v>4134.534</v>
      </c>
      <c r="M16" s="6">
        <f t="shared" si="6"/>
        <v>2934692.233</v>
      </c>
      <c r="N16" s="6">
        <f t="shared" si="7"/>
        <v>1257725.243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  <c r="J17" s="68">
        <f t="shared" si="3"/>
        <v>288</v>
      </c>
      <c r="K17" s="6">
        <f t="shared" si="4"/>
        <v>6749.379</v>
      </c>
      <c r="L17" s="6">
        <f t="shared" si="5"/>
        <v>3856.788</v>
      </c>
      <c r="M17" s="6">
        <f t="shared" si="6"/>
        <v>1943821.152</v>
      </c>
      <c r="N17" s="6">
        <f t="shared" si="7"/>
        <v>833066.208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  <c r="H18" s="6">
        <f t="shared" si="1"/>
        <v>709.338</v>
      </c>
      <c r="I18" s="6">
        <f t="shared" si="2"/>
        <v>204289.344</v>
      </c>
      <c r="J18" s="68">
        <f t="shared" si="3"/>
        <v>518.4</v>
      </c>
      <c r="K18" s="6">
        <f t="shared" si="4"/>
        <v>1241.3415</v>
      </c>
      <c r="L18" s="6">
        <f t="shared" si="5"/>
        <v>709.338</v>
      </c>
      <c r="M18" s="6">
        <f t="shared" si="6"/>
        <v>643511.4336</v>
      </c>
      <c r="N18" s="6">
        <f t="shared" si="7"/>
        <v>275790.6144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  <c r="H19" s="6">
        <f t="shared" si="1"/>
        <v>695.376</v>
      </c>
      <c r="I19" s="6">
        <f t="shared" si="2"/>
        <v>521532</v>
      </c>
      <c r="J19" s="68">
        <f t="shared" si="3"/>
        <v>1350</v>
      </c>
      <c r="K19" s="6">
        <f t="shared" si="4"/>
        <v>1216.908</v>
      </c>
      <c r="L19" s="6">
        <f t="shared" si="5"/>
        <v>695.376</v>
      </c>
      <c r="M19" s="6">
        <f t="shared" si="6"/>
        <v>1642825.8</v>
      </c>
      <c r="N19" s="6">
        <f t="shared" si="7"/>
        <v>704068.2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  <c r="J20" s="68">
        <f t="shared" si="3"/>
        <v>1273.2</v>
      </c>
      <c r="K20" s="6">
        <f t="shared" si="4"/>
        <v>5663.238</v>
      </c>
      <c r="L20" s="6">
        <f t="shared" si="5"/>
        <v>3236.136</v>
      </c>
      <c r="M20" s="6">
        <f t="shared" si="6"/>
        <v>7210434.622</v>
      </c>
      <c r="N20" s="6">
        <f t="shared" si="7"/>
        <v>3090186.266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  <c r="J21" s="68">
        <f t="shared" si="3"/>
        <v>967.2</v>
      </c>
      <c r="K21" s="6">
        <f t="shared" si="4"/>
        <v>5719.581</v>
      </c>
      <c r="L21" s="6">
        <f t="shared" si="5"/>
        <v>3268.332</v>
      </c>
      <c r="M21" s="6">
        <f t="shared" si="6"/>
        <v>5531978.743</v>
      </c>
      <c r="N21" s="6">
        <f t="shared" si="7"/>
        <v>2370848.033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  <c r="J22" s="68">
        <f t="shared" si="3"/>
        <v>1408.8</v>
      </c>
      <c r="K22" s="6">
        <f t="shared" si="4"/>
        <v>5552.442</v>
      </c>
      <c r="L22" s="6">
        <f t="shared" si="5"/>
        <v>3172.824</v>
      </c>
      <c r="M22" s="6">
        <f t="shared" si="6"/>
        <v>7822280.29</v>
      </c>
      <c r="N22" s="6">
        <f t="shared" si="7"/>
        <v>3352405.838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  <c r="H23" s="6">
        <f t="shared" si="1"/>
        <v>4193.01</v>
      </c>
      <c r="I23" s="6">
        <f t="shared" si="2"/>
        <v>1201996.2</v>
      </c>
      <c r="J23" s="68">
        <f t="shared" si="3"/>
        <v>516</v>
      </c>
      <c r="K23" s="6">
        <f t="shared" si="4"/>
        <v>7337.7675</v>
      </c>
      <c r="L23" s="6">
        <f t="shared" si="5"/>
        <v>4193.01</v>
      </c>
      <c r="M23" s="6">
        <f t="shared" si="6"/>
        <v>3786288.03</v>
      </c>
      <c r="N23" s="6">
        <f t="shared" si="7"/>
        <v>1622694.87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  <c r="J24" s="68">
        <f t="shared" si="3"/>
        <v>530.4</v>
      </c>
      <c r="K24" s="6">
        <f t="shared" si="4"/>
        <v>7192.9515</v>
      </c>
      <c r="L24" s="6">
        <f t="shared" si="5"/>
        <v>4110.258</v>
      </c>
      <c r="M24" s="6">
        <f t="shared" si="6"/>
        <v>3815141.476</v>
      </c>
      <c r="N24" s="6">
        <f t="shared" si="7"/>
        <v>1635060.632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  <c r="H25" s="6">
        <f t="shared" si="1"/>
        <v>789.492</v>
      </c>
      <c r="I25" s="6">
        <f t="shared" si="2"/>
        <v>476326.84</v>
      </c>
      <c r="J25" s="68">
        <f t="shared" si="3"/>
        <v>1086</v>
      </c>
      <c r="K25" s="6">
        <f t="shared" si="4"/>
        <v>1381.611</v>
      </c>
      <c r="L25" s="6">
        <f t="shared" si="5"/>
        <v>789.492</v>
      </c>
      <c r="M25" s="6">
        <f t="shared" si="6"/>
        <v>1500429.546</v>
      </c>
      <c r="N25" s="6">
        <f t="shared" si="7"/>
        <v>643041.234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  <c r="J26" s="68">
        <f t="shared" si="3"/>
        <v>273.6</v>
      </c>
      <c r="K26" s="6">
        <f t="shared" si="4"/>
        <v>22245.6255</v>
      </c>
      <c r="L26" s="6">
        <f t="shared" si="5"/>
        <v>12711.786</v>
      </c>
      <c r="M26" s="6">
        <f t="shared" si="6"/>
        <v>6086403.137</v>
      </c>
      <c r="N26" s="6">
        <f t="shared" si="7"/>
        <v>2608458.487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  <c r="H27" s="6">
        <f t="shared" si="1"/>
        <v>3756.57</v>
      </c>
      <c r="I27" s="6">
        <f t="shared" si="2"/>
        <v>994238.86</v>
      </c>
      <c r="J27" s="68">
        <f t="shared" si="3"/>
        <v>476.4</v>
      </c>
      <c r="K27" s="6">
        <f t="shared" si="4"/>
        <v>6573.9975</v>
      </c>
      <c r="L27" s="6">
        <f t="shared" si="5"/>
        <v>3756.57</v>
      </c>
      <c r="M27" s="6">
        <f t="shared" si="6"/>
        <v>3131852.409</v>
      </c>
      <c r="N27" s="6">
        <f t="shared" si="7"/>
        <v>1342222.461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  <c r="J28" s="68">
        <f t="shared" si="3"/>
        <v>999.6</v>
      </c>
      <c r="K28" s="6">
        <f t="shared" si="4"/>
        <v>5660.1195</v>
      </c>
      <c r="L28" s="6">
        <f t="shared" si="5"/>
        <v>3234.354</v>
      </c>
      <c r="M28" s="6">
        <f t="shared" si="6"/>
        <v>5657855.452</v>
      </c>
      <c r="N28" s="6">
        <f t="shared" si="7"/>
        <v>2424795.194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  <c r="H29" s="6">
        <f t="shared" si="1"/>
        <v>710.034</v>
      </c>
      <c r="I29" s="6">
        <f t="shared" si="2"/>
        <v>242358.272</v>
      </c>
      <c r="J29" s="68">
        <f t="shared" si="3"/>
        <v>614.4</v>
      </c>
      <c r="K29" s="6">
        <f t="shared" si="4"/>
        <v>1242.5595</v>
      </c>
      <c r="L29" s="6">
        <f t="shared" si="5"/>
        <v>710.034</v>
      </c>
      <c r="M29" s="6">
        <f t="shared" si="6"/>
        <v>763428.5568</v>
      </c>
      <c r="N29" s="6">
        <f t="shared" si="7"/>
        <v>327183.6672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  <c r="J30" s="68">
        <f t="shared" si="3"/>
        <v>1090.8</v>
      </c>
      <c r="K30" s="6">
        <f t="shared" si="4"/>
        <v>1374.1035</v>
      </c>
      <c r="L30" s="6">
        <f t="shared" si="5"/>
        <v>785.202</v>
      </c>
      <c r="M30" s="6">
        <f t="shared" si="6"/>
        <v>1498872.098</v>
      </c>
      <c r="N30" s="6">
        <f t="shared" si="7"/>
        <v>642373.7562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  <c r="H31" s="6">
        <f t="shared" si="1"/>
        <v>4200.9</v>
      </c>
      <c r="I31" s="6">
        <f t="shared" si="2"/>
        <v>873787.2</v>
      </c>
      <c r="J31" s="68">
        <f t="shared" si="3"/>
        <v>374.4</v>
      </c>
      <c r="K31" s="6">
        <f t="shared" si="4"/>
        <v>7351.575</v>
      </c>
      <c r="L31" s="6">
        <f t="shared" si="5"/>
        <v>4200.9</v>
      </c>
      <c r="M31" s="6">
        <f t="shared" si="6"/>
        <v>2752429.68</v>
      </c>
      <c r="N31" s="6">
        <f t="shared" si="7"/>
        <v>1179612.72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  <c r="J32" s="68">
        <f t="shared" si="3"/>
        <v>988.8</v>
      </c>
      <c r="K32" s="6">
        <f t="shared" si="4"/>
        <v>5866.035</v>
      </c>
      <c r="L32" s="6">
        <f t="shared" si="5"/>
        <v>3352.02</v>
      </c>
      <c r="M32" s="6">
        <f t="shared" si="6"/>
        <v>5800335.408</v>
      </c>
      <c r="N32" s="6">
        <f t="shared" si="7"/>
        <v>2485858.032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  <c r="H33" s="6">
        <f t="shared" si="1"/>
        <v>783.948</v>
      </c>
      <c r="I33" s="6">
        <f t="shared" si="2"/>
        <v>337620.272</v>
      </c>
      <c r="J33" s="68">
        <f t="shared" si="3"/>
        <v>775.2</v>
      </c>
      <c r="K33" s="6">
        <f t="shared" si="4"/>
        <v>1371.909</v>
      </c>
      <c r="L33" s="6">
        <f t="shared" si="5"/>
        <v>783.948</v>
      </c>
      <c r="M33" s="6">
        <f t="shared" si="6"/>
        <v>1063503.857</v>
      </c>
      <c r="N33" s="6">
        <f t="shared" si="7"/>
        <v>455787.3672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  <c r="J34" s="68">
        <f t="shared" si="3"/>
        <v>1071.6</v>
      </c>
      <c r="K34" s="6">
        <f t="shared" si="4"/>
        <v>5859.588</v>
      </c>
      <c r="L34" s="6">
        <f t="shared" si="5"/>
        <v>3348.336</v>
      </c>
      <c r="M34" s="6">
        <f t="shared" si="6"/>
        <v>6279134.501</v>
      </c>
      <c r="N34" s="6">
        <f t="shared" si="7"/>
        <v>2691057.643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  <c r="H35" s="6">
        <f t="shared" si="1"/>
        <v>635.886</v>
      </c>
      <c r="I35" s="6">
        <f t="shared" si="2"/>
        <v>248419.464</v>
      </c>
      <c r="J35" s="68">
        <f t="shared" si="3"/>
        <v>703.2</v>
      </c>
      <c r="K35" s="6">
        <f t="shared" si="4"/>
        <v>1112.8005</v>
      </c>
      <c r="L35" s="6">
        <f t="shared" si="5"/>
        <v>635.886</v>
      </c>
      <c r="M35" s="6">
        <f t="shared" si="6"/>
        <v>782521.3116</v>
      </c>
      <c r="N35" s="6">
        <f t="shared" si="7"/>
        <v>335366.2764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  <c r="H36" s="6">
        <f t="shared" si="1"/>
        <v>773.25</v>
      </c>
      <c r="I36" s="6">
        <f t="shared" si="2"/>
        <v>413431</v>
      </c>
      <c r="J36" s="68">
        <f t="shared" si="3"/>
        <v>962.4</v>
      </c>
      <c r="K36" s="6">
        <f t="shared" si="4"/>
        <v>1353.1875</v>
      </c>
      <c r="L36" s="6">
        <f t="shared" si="5"/>
        <v>773.25</v>
      </c>
      <c r="M36" s="6">
        <f t="shared" si="6"/>
        <v>1302307.65</v>
      </c>
      <c r="N36" s="6">
        <f t="shared" si="7"/>
        <v>558131.85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  <c r="H37" s="6">
        <f t="shared" si="1"/>
        <v>3252.66</v>
      </c>
      <c r="I37" s="6">
        <f t="shared" si="2"/>
        <v>2493706</v>
      </c>
      <c r="J37" s="68">
        <f t="shared" si="3"/>
        <v>1380</v>
      </c>
      <c r="K37" s="6">
        <f t="shared" si="4"/>
        <v>5692.155</v>
      </c>
      <c r="L37" s="6">
        <f t="shared" si="5"/>
        <v>3252.66</v>
      </c>
      <c r="M37" s="6">
        <f t="shared" si="6"/>
        <v>7855173.9</v>
      </c>
      <c r="N37" s="6">
        <f t="shared" si="7"/>
        <v>3366503.1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  <c r="J38" s="68">
        <f t="shared" si="3"/>
        <v>1046.4</v>
      </c>
      <c r="K38" s="6">
        <f t="shared" si="4"/>
        <v>1281.5985</v>
      </c>
      <c r="L38" s="6">
        <f t="shared" si="5"/>
        <v>732.342</v>
      </c>
      <c r="M38" s="6">
        <f t="shared" si="6"/>
        <v>1341064.67</v>
      </c>
      <c r="N38" s="6">
        <f t="shared" si="7"/>
        <v>574742.0016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  <c r="H39" s="6">
        <f t="shared" si="1"/>
        <v>633.39</v>
      </c>
      <c r="I39" s="6">
        <f t="shared" si="2"/>
        <v>314583.7</v>
      </c>
      <c r="J39" s="68">
        <f t="shared" si="3"/>
        <v>894</v>
      </c>
      <c r="K39" s="6">
        <f t="shared" si="4"/>
        <v>1108.4325</v>
      </c>
      <c r="L39" s="6">
        <f t="shared" si="5"/>
        <v>633.39</v>
      </c>
      <c r="M39" s="6">
        <f t="shared" si="6"/>
        <v>990938.655</v>
      </c>
      <c r="N39" s="6">
        <f t="shared" si="7"/>
        <v>424687.995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  <c r="J40" s="68">
        <f t="shared" si="3"/>
        <v>721.2</v>
      </c>
      <c r="K40" s="6">
        <f t="shared" si="4"/>
        <v>5775.105</v>
      </c>
      <c r="L40" s="6">
        <f t="shared" si="5"/>
        <v>3300.06</v>
      </c>
      <c r="M40" s="6">
        <f t="shared" si="6"/>
        <v>4165005.726</v>
      </c>
      <c r="N40" s="6">
        <f t="shared" si="7"/>
        <v>1785002.454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  <c r="J41" s="68">
        <f t="shared" si="3"/>
        <v>488.4</v>
      </c>
      <c r="K41" s="6">
        <f t="shared" si="4"/>
        <v>7083.0165</v>
      </c>
      <c r="L41" s="6">
        <f t="shared" si="5"/>
        <v>4047.438</v>
      </c>
      <c r="M41" s="6">
        <f t="shared" si="6"/>
        <v>3459345.259</v>
      </c>
      <c r="N41" s="6">
        <f t="shared" si="7"/>
        <v>1482576.539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  <c r="H42" s="6">
        <f t="shared" si="1"/>
        <v>679.2</v>
      </c>
      <c r="I42" s="6">
        <f t="shared" si="2"/>
        <v>485401.6</v>
      </c>
      <c r="J42" s="68">
        <f t="shared" si="3"/>
        <v>1286.4</v>
      </c>
      <c r="K42" s="6">
        <f t="shared" si="4"/>
        <v>1188.6</v>
      </c>
      <c r="L42" s="6">
        <f t="shared" si="5"/>
        <v>679.2</v>
      </c>
      <c r="M42" s="6">
        <f t="shared" si="6"/>
        <v>1529015.04</v>
      </c>
      <c r="N42" s="6">
        <f t="shared" si="7"/>
        <v>655292.16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  <c r="H43" s="6">
        <f t="shared" si="1"/>
        <v>733.938</v>
      </c>
      <c r="I43" s="6">
        <f t="shared" si="2"/>
        <v>319507.676</v>
      </c>
      <c r="J43" s="68">
        <f t="shared" si="3"/>
        <v>783.6</v>
      </c>
      <c r="K43" s="6">
        <f t="shared" si="4"/>
        <v>1284.3915</v>
      </c>
      <c r="L43" s="6">
        <f t="shared" si="5"/>
        <v>733.938</v>
      </c>
      <c r="M43" s="6">
        <f t="shared" si="6"/>
        <v>1006449.179</v>
      </c>
      <c r="N43" s="6">
        <f t="shared" si="7"/>
        <v>431335.3626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  <c r="J44" s="68">
        <f t="shared" si="3"/>
        <v>1124.4</v>
      </c>
      <c r="K44" s="6">
        <f t="shared" si="4"/>
        <v>4960.3155</v>
      </c>
      <c r="L44" s="6">
        <f t="shared" si="5"/>
        <v>2834.466</v>
      </c>
      <c r="M44" s="6">
        <f t="shared" si="6"/>
        <v>5577378.748</v>
      </c>
      <c r="N44" s="6">
        <f t="shared" si="7"/>
        <v>2390305.178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  <c r="H45" s="6">
        <f t="shared" si="1"/>
        <v>671.808</v>
      </c>
      <c r="I45" s="6">
        <f t="shared" si="2"/>
        <v>356953.984</v>
      </c>
      <c r="J45" s="68">
        <f t="shared" si="3"/>
        <v>956.4</v>
      </c>
      <c r="K45" s="6">
        <f t="shared" si="4"/>
        <v>1175.664</v>
      </c>
      <c r="L45" s="6">
        <f t="shared" si="5"/>
        <v>671.808</v>
      </c>
      <c r="M45" s="6">
        <f t="shared" si="6"/>
        <v>1124405.05</v>
      </c>
      <c r="N45" s="6">
        <f t="shared" si="7"/>
        <v>481887.8784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  <c r="H46" s="6">
        <f t="shared" si="1"/>
        <v>745.47</v>
      </c>
      <c r="I46" s="6">
        <f t="shared" si="2"/>
        <v>393111.18</v>
      </c>
      <c r="J46" s="68">
        <f t="shared" si="3"/>
        <v>949.2</v>
      </c>
      <c r="K46" s="6">
        <f t="shared" si="4"/>
        <v>1304.5725</v>
      </c>
      <c r="L46" s="6">
        <f t="shared" si="5"/>
        <v>745.47</v>
      </c>
      <c r="M46" s="6">
        <f t="shared" si="6"/>
        <v>1238300.217</v>
      </c>
      <c r="N46" s="6">
        <f t="shared" si="7"/>
        <v>530700.093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  <c r="J47" s="68">
        <f t="shared" si="3"/>
        <v>265.2</v>
      </c>
      <c r="K47" s="6">
        <f t="shared" si="4"/>
        <v>7331.268</v>
      </c>
      <c r="L47" s="6">
        <f t="shared" si="5"/>
        <v>4189.296</v>
      </c>
      <c r="M47" s="6">
        <f t="shared" si="6"/>
        <v>1944252.274</v>
      </c>
      <c r="N47" s="6">
        <f t="shared" si="7"/>
        <v>833250.9744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  <c r="J48" s="68">
        <f t="shared" si="3"/>
        <v>1394.4</v>
      </c>
      <c r="K48" s="6">
        <f t="shared" si="4"/>
        <v>5623.107</v>
      </c>
      <c r="L48" s="6">
        <f t="shared" si="5"/>
        <v>3213.204</v>
      </c>
      <c r="M48" s="6">
        <f t="shared" si="6"/>
        <v>7840860.401</v>
      </c>
      <c r="N48" s="6">
        <f t="shared" si="7"/>
        <v>3360368.743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  <c r="H49" s="6">
        <f t="shared" si="1"/>
        <v>4168.89</v>
      </c>
      <c r="I49" s="6">
        <f t="shared" si="2"/>
        <v>961623.96</v>
      </c>
      <c r="J49" s="68">
        <f t="shared" si="3"/>
        <v>415.2</v>
      </c>
      <c r="K49" s="6">
        <f t="shared" si="4"/>
        <v>7295.5575</v>
      </c>
      <c r="L49" s="6">
        <f t="shared" si="5"/>
        <v>4168.89</v>
      </c>
      <c r="M49" s="6">
        <f t="shared" si="6"/>
        <v>3029115.474</v>
      </c>
      <c r="N49" s="6">
        <f t="shared" si="7"/>
        <v>1298192.346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  <c r="H50" s="6">
        <f t="shared" si="1"/>
        <v>613.002</v>
      </c>
      <c r="I50" s="6">
        <f t="shared" si="2"/>
        <v>252965.492</v>
      </c>
      <c r="J50" s="68">
        <f t="shared" si="3"/>
        <v>742.8</v>
      </c>
      <c r="K50" s="6">
        <f t="shared" si="4"/>
        <v>1072.7535</v>
      </c>
      <c r="L50" s="6">
        <f t="shared" si="5"/>
        <v>613.002</v>
      </c>
      <c r="M50" s="6">
        <f t="shared" si="6"/>
        <v>796841.2998</v>
      </c>
      <c r="N50" s="6">
        <f t="shared" si="7"/>
        <v>341503.4142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  <c r="H51" s="6">
        <f t="shared" si="1"/>
        <v>705.414</v>
      </c>
      <c r="I51" s="6">
        <f t="shared" si="2"/>
        <v>351766.448</v>
      </c>
      <c r="J51" s="68">
        <f t="shared" si="3"/>
        <v>897.6</v>
      </c>
      <c r="K51" s="6">
        <f t="shared" si="4"/>
        <v>1234.4745</v>
      </c>
      <c r="L51" s="6">
        <f t="shared" si="5"/>
        <v>705.414</v>
      </c>
      <c r="M51" s="6">
        <f t="shared" si="6"/>
        <v>1108064.311</v>
      </c>
      <c r="N51" s="6">
        <f t="shared" si="7"/>
        <v>474884.7048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  <c r="H52" s="6">
        <f t="shared" si="1"/>
        <v>669.192</v>
      </c>
      <c r="I52" s="6">
        <f t="shared" si="2"/>
        <v>229755.92</v>
      </c>
      <c r="J52" s="68">
        <f t="shared" si="3"/>
        <v>618</v>
      </c>
      <c r="K52" s="6">
        <f t="shared" si="4"/>
        <v>1171.086</v>
      </c>
      <c r="L52" s="6">
        <f t="shared" si="5"/>
        <v>669.192</v>
      </c>
      <c r="M52" s="6">
        <f t="shared" si="6"/>
        <v>723731.148</v>
      </c>
      <c r="N52" s="6">
        <f t="shared" si="7"/>
        <v>310170.492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  <c r="J53" s="68">
        <f t="shared" si="3"/>
        <v>1398</v>
      </c>
      <c r="K53" s="6">
        <f t="shared" si="4"/>
        <v>5246.8815</v>
      </c>
      <c r="L53" s="6">
        <f t="shared" si="5"/>
        <v>2998.218</v>
      </c>
      <c r="M53" s="6">
        <f t="shared" si="6"/>
        <v>7335140.337</v>
      </c>
      <c r="N53" s="6">
        <f t="shared" si="7"/>
        <v>3143631.573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  <c r="J54" s="68">
        <f t="shared" si="3"/>
        <v>157.2</v>
      </c>
      <c r="K54" s="6">
        <f t="shared" si="4"/>
        <v>21610.911</v>
      </c>
      <c r="L54" s="6">
        <f t="shared" si="5"/>
        <v>12349.092</v>
      </c>
      <c r="M54" s="6">
        <f t="shared" si="6"/>
        <v>3397235.209</v>
      </c>
      <c r="N54" s="6">
        <f t="shared" si="7"/>
        <v>1455957.947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  <c r="J55" s="68">
        <f t="shared" si="3"/>
        <v>139.2</v>
      </c>
      <c r="K55" s="6">
        <f t="shared" si="4"/>
        <v>23742.264</v>
      </c>
      <c r="L55" s="6">
        <f t="shared" si="5"/>
        <v>13567.008</v>
      </c>
      <c r="M55" s="6">
        <f t="shared" si="6"/>
        <v>3304923.149</v>
      </c>
      <c r="N55" s="6">
        <f t="shared" si="7"/>
        <v>1416395.635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  <c r="J56" s="68">
        <f t="shared" si="3"/>
        <v>165.6</v>
      </c>
      <c r="K56" s="6">
        <f t="shared" si="4"/>
        <v>23335.305</v>
      </c>
      <c r="L56" s="6">
        <f t="shared" si="5"/>
        <v>13334.46</v>
      </c>
      <c r="M56" s="6">
        <f t="shared" si="6"/>
        <v>3864326.508</v>
      </c>
      <c r="N56" s="6">
        <f t="shared" si="7"/>
        <v>1656139.932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  <c r="J57" s="68">
        <f t="shared" si="3"/>
        <v>1326</v>
      </c>
      <c r="K57" s="6">
        <f t="shared" si="4"/>
        <v>5438.181</v>
      </c>
      <c r="L57" s="6">
        <f t="shared" si="5"/>
        <v>3107.532</v>
      </c>
      <c r="M57" s="6">
        <f t="shared" si="6"/>
        <v>7211028.006</v>
      </c>
      <c r="N57" s="6">
        <f t="shared" si="7"/>
        <v>3090440.574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  <c r="J58" s="68">
        <f t="shared" si="3"/>
        <v>1333.2</v>
      </c>
      <c r="K58" s="6">
        <f t="shared" si="4"/>
        <v>5448.2505</v>
      </c>
      <c r="L58" s="6">
        <f t="shared" si="5"/>
        <v>3113.286</v>
      </c>
      <c r="M58" s="6">
        <f t="shared" si="6"/>
        <v>7263607.567</v>
      </c>
      <c r="N58" s="6">
        <f t="shared" si="7"/>
        <v>3112974.671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  <c r="J59" s="68">
        <f t="shared" si="3"/>
        <v>1351.2</v>
      </c>
      <c r="K59" s="6">
        <f t="shared" si="4"/>
        <v>1246.5915</v>
      </c>
      <c r="L59" s="6">
        <f t="shared" si="5"/>
        <v>712.338</v>
      </c>
      <c r="M59" s="6">
        <f t="shared" si="6"/>
        <v>1684394.435</v>
      </c>
      <c r="N59" s="6">
        <f t="shared" si="7"/>
        <v>721883.3292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  <c r="J60" s="68">
        <f t="shared" si="3"/>
        <v>194.4</v>
      </c>
      <c r="K60" s="6">
        <f t="shared" si="4"/>
        <v>22228.2795</v>
      </c>
      <c r="L60" s="6">
        <f t="shared" si="5"/>
        <v>12701.874</v>
      </c>
      <c r="M60" s="6">
        <f t="shared" si="6"/>
        <v>4321177.535</v>
      </c>
      <c r="N60" s="6">
        <f t="shared" si="7"/>
        <v>1851933.229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  <c r="J61" s="68">
        <f t="shared" si="3"/>
        <v>1214.4</v>
      </c>
      <c r="K61" s="6">
        <f t="shared" si="4"/>
        <v>1322.538</v>
      </c>
      <c r="L61" s="6">
        <f t="shared" si="5"/>
        <v>755.736</v>
      </c>
      <c r="M61" s="6">
        <f t="shared" si="6"/>
        <v>1606090.147</v>
      </c>
      <c r="N61" s="6">
        <f t="shared" si="7"/>
        <v>688324.3488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  <c r="J62" s="68">
        <f t="shared" si="3"/>
        <v>1222.8</v>
      </c>
      <c r="K62" s="6">
        <f t="shared" si="4"/>
        <v>1183.308</v>
      </c>
      <c r="L62" s="6">
        <f t="shared" si="5"/>
        <v>676.176</v>
      </c>
      <c r="M62" s="6">
        <f t="shared" si="6"/>
        <v>1446949.022</v>
      </c>
      <c r="N62" s="6">
        <f t="shared" si="7"/>
        <v>620121.0096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  <c r="J63" s="68">
        <f t="shared" si="3"/>
        <v>411.6</v>
      </c>
      <c r="K63" s="6">
        <f t="shared" si="4"/>
        <v>7103.187</v>
      </c>
      <c r="L63" s="6">
        <f t="shared" si="5"/>
        <v>4058.964</v>
      </c>
      <c r="M63" s="6">
        <f t="shared" si="6"/>
        <v>2923671.769</v>
      </c>
      <c r="N63" s="6">
        <f t="shared" si="7"/>
        <v>1253002.187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  <c r="J64" s="68">
        <f t="shared" si="3"/>
        <v>862.8</v>
      </c>
      <c r="K64" s="6">
        <f t="shared" si="4"/>
        <v>5471.655</v>
      </c>
      <c r="L64" s="6">
        <f t="shared" si="5"/>
        <v>3126.66</v>
      </c>
      <c r="M64" s="6">
        <f t="shared" si="6"/>
        <v>4720943.934</v>
      </c>
      <c r="N64" s="6">
        <f t="shared" si="7"/>
        <v>2023261.686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  <c r="J65" s="68">
        <f t="shared" si="3"/>
        <v>871.2</v>
      </c>
      <c r="K65" s="6">
        <f t="shared" si="4"/>
        <v>5214.4785</v>
      </c>
      <c r="L65" s="6">
        <f t="shared" si="5"/>
        <v>2979.702</v>
      </c>
      <c r="M65" s="6">
        <f t="shared" si="6"/>
        <v>4542853.669</v>
      </c>
      <c r="N65" s="6">
        <f t="shared" si="7"/>
        <v>1946937.287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  <c r="J66" s="68">
        <f t="shared" si="3"/>
        <v>265.2</v>
      </c>
      <c r="K66" s="6">
        <f t="shared" si="4"/>
        <v>22176.042</v>
      </c>
      <c r="L66" s="6">
        <f t="shared" si="5"/>
        <v>12672.024</v>
      </c>
      <c r="M66" s="6">
        <f t="shared" si="6"/>
        <v>5881086.338</v>
      </c>
      <c r="N66" s="6">
        <f t="shared" si="7"/>
        <v>2520465.574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  <c r="J67" s="68">
        <f t="shared" si="3"/>
        <v>1045.2</v>
      </c>
      <c r="K67" s="6">
        <f t="shared" si="4"/>
        <v>5427.7965</v>
      </c>
      <c r="L67" s="6">
        <f t="shared" si="5"/>
        <v>3101.598</v>
      </c>
      <c r="M67" s="6">
        <f t="shared" si="6"/>
        <v>5673132.902</v>
      </c>
      <c r="N67" s="6">
        <f t="shared" si="7"/>
        <v>2431342.672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  <c r="J68" s="68">
        <f t="shared" si="3"/>
        <v>1015.2</v>
      </c>
      <c r="K68" s="6">
        <f t="shared" si="4"/>
        <v>5583.1755</v>
      </c>
      <c r="L68" s="6">
        <f t="shared" si="5"/>
        <v>3190.386</v>
      </c>
      <c r="M68" s="6">
        <f t="shared" si="6"/>
        <v>5668039.768</v>
      </c>
      <c r="N68" s="6">
        <f t="shared" si="7"/>
        <v>2429159.9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  <c r="J69" s="68">
        <f t="shared" si="3"/>
        <v>982.8</v>
      </c>
      <c r="K69" s="6">
        <f t="shared" si="4"/>
        <v>5440.491</v>
      </c>
      <c r="L69" s="6">
        <f t="shared" si="5"/>
        <v>3108.852</v>
      </c>
      <c r="M69" s="6">
        <f t="shared" si="6"/>
        <v>5346914.555</v>
      </c>
      <c r="N69" s="6">
        <f t="shared" si="7"/>
        <v>2291534.809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  <c r="J70" s="68">
        <f t="shared" si="3"/>
        <v>963.6</v>
      </c>
      <c r="K70" s="6">
        <f t="shared" si="4"/>
        <v>5449.6575</v>
      </c>
      <c r="L70" s="6">
        <f t="shared" si="5"/>
        <v>3114.09</v>
      </c>
      <c r="M70" s="6">
        <f t="shared" si="6"/>
        <v>5251289.967</v>
      </c>
      <c r="N70" s="6">
        <f t="shared" si="7"/>
        <v>2250552.843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  <c r="J71" s="68">
        <f t="shared" si="3"/>
        <v>130.8</v>
      </c>
      <c r="K71" s="6">
        <f t="shared" si="4"/>
        <v>23496.312</v>
      </c>
      <c r="L71" s="6">
        <f t="shared" si="5"/>
        <v>13426.464</v>
      </c>
      <c r="M71" s="6">
        <f t="shared" si="6"/>
        <v>3073317.61</v>
      </c>
      <c r="N71" s="6">
        <f t="shared" si="7"/>
        <v>1317136.118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  <c r="H72" s="6">
        <f t="shared" si="1"/>
        <v>911.22</v>
      </c>
      <c r="I72" s="6">
        <f t="shared" si="2"/>
        <v>377852.56</v>
      </c>
      <c r="J72" s="68">
        <f t="shared" si="3"/>
        <v>746.4</v>
      </c>
      <c r="K72" s="6">
        <f t="shared" si="4"/>
        <v>1594.635</v>
      </c>
      <c r="L72" s="6">
        <f t="shared" si="5"/>
        <v>911.22</v>
      </c>
      <c r="M72" s="6">
        <f t="shared" si="6"/>
        <v>1190235.564</v>
      </c>
      <c r="N72" s="6">
        <f t="shared" si="7"/>
        <v>510100.956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  <c r="J73" s="68">
        <f t="shared" si="3"/>
        <v>272.4</v>
      </c>
      <c r="K73" s="6">
        <f t="shared" si="4"/>
        <v>22645.6965</v>
      </c>
      <c r="L73" s="6">
        <f t="shared" si="5"/>
        <v>12940.398</v>
      </c>
      <c r="M73" s="6">
        <f t="shared" si="6"/>
        <v>6168687.727</v>
      </c>
      <c r="N73" s="6">
        <f t="shared" si="7"/>
        <v>2643723.311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  <c r="J74" s="68">
        <f t="shared" si="3"/>
        <v>1306.8</v>
      </c>
      <c r="K74" s="6">
        <f t="shared" si="4"/>
        <v>1151.388</v>
      </c>
      <c r="L74" s="6">
        <f t="shared" si="5"/>
        <v>657.936</v>
      </c>
      <c r="M74" s="6">
        <f t="shared" si="6"/>
        <v>1504633.838</v>
      </c>
      <c r="N74" s="6">
        <f t="shared" si="7"/>
        <v>644843.0736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  <c r="J75" s="68">
        <f t="shared" si="3"/>
        <v>316.8</v>
      </c>
      <c r="K75" s="6">
        <f t="shared" si="4"/>
        <v>7099.344</v>
      </c>
      <c r="L75" s="6">
        <f t="shared" si="5"/>
        <v>4056.768</v>
      </c>
      <c r="M75" s="6">
        <f t="shared" si="6"/>
        <v>2249072.179</v>
      </c>
      <c r="N75" s="6">
        <f t="shared" si="7"/>
        <v>963888.0768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  <c r="H76" s="6">
        <f t="shared" si="1"/>
        <v>690.816</v>
      </c>
      <c r="I76" s="6">
        <f t="shared" si="2"/>
        <v>315012.096</v>
      </c>
      <c r="J76" s="68">
        <f t="shared" si="3"/>
        <v>820.8</v>
      </c>
      <c r="K76" s="6">
        <f t="shared" si="4"/>
        <v>1208.928</v>
      </c>
      <c r="L76" s="6">
        <f t="shared" si="5"/>
        <v>690.816</v>
      </c>
      <c r="M76" s="6">
        <f t="shared" si="6"/>
        <v>992288.1024</v>
      </c>
      <c r="N76" s="6">
        <f t="shared" si="7"/>
        <v>425266.3296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  <c r="J77" s="68">
        <f t="shared" si="3"/>
        <v>256.8</v>
      </c>
      <c r="K77" s="6">
        <f t="shared" si="4"/>
        <v>22749.384</v>
      </c>
      <c r="L77" s="6">
        <f t="shared" si="5"/>
        <v>12999.648</v>
      </c>
      <c r="M77" s="6">
        <f t="shared" si="6"/>
        <v>5842041.811</v>
      </c>
      <c r="N77" s="6">
        <f t="shared" si="7"/>
        <v>2503732.205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  <c r="J78" s="68">
        <f t="shared" si="3"/>
        <v>1310.4</v>
      </c>
      <c r="K78" s="6">
        <f t="shared" si="4"/>
        <v>5659.2165</v>
      </c>
      <c r="L78" s="6">
        <f t="shared" si="5"/>
        <v>3233.838</v>
      </c>
      <c r="M78" s="6">
        <f t="shared" si="6"/>
        <v>7415837.302</v>
      </c>
      <c r="N78" s="6">
        <f t="shared" si="7"/>
        <v>3178215.986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  <c r="H79" s="6">
        <f t="shared" si="1"/>
        <v>715.278</v>
      </c>
      <c r="I79" s="6">
        <f t="shared" si="2"/>
        <v>281819.532</v>
      </c>
      <c r="J79" s="68">
        <f t="shared" si="3"/>
        <v>709.2</v>
      </c>
      <c r="K79" s="6">
        <f t="shared" si="4"/>
        <v>1251.7365</v>
      </c>
      <c r="L79" s="6">
        <f t="shared" si="5"/>
        <v>715.278</v>
      </c>
      <c r="M79" s="6">
        <f t="shared" si="6"/>
        <v>887731.5258</v>
      </c>
      <c r="N79" s="6">
        <f t="shared" si="7"/>
        <v>380456.3682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  <c r="J80" s="68">
        <f t="shared" si="3"/>
        <v>234</v>
      </c>
      <c r="K80" s="6">
        <f t="shared" si="4"/>
        <v>23034.564</v>
      </c>
      <c r="L80" s="6">
        <f t="shared" si="5"/>
        <v>13162.608</v>
      </c>
      <c r="M80" s="6">
        <f t="shared" si="6"/>
        <v>5390087.976</v>
      </c>
      <c r="N80" s="6">
        <f t="shared" si="7"/>
        <v>2310037.704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  <c r="J81" s="68">
        <f t="shared" si="3"/>
        <v>1053.6</v>
      </c>
      <c r="K81" s="6">
        <f t="shared" si="4"/>
        <v>5522.538</v>
      </c>
      <c r="L81" s="6">
        <f t="shared" si="5"/>
        <v>3155.736</v>
      </c>
      <c r="M81" s="6">
        <f t="shared" si="6"/>
        <v>5818546.037</v>
      </c>
      <c r="N81" s="6">
        <f t="shared" si="7"/>
        <v>2493662.587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  <c r="J82" s="68">
        <f t="shared" si="3"/>
        <v>793.2</v>
      </c>
      <c r="K82" s="6">
        <f t="shared" si="4"/>
        <v>5049.114</v>
      </c>
      <c r="L82" s="6">
        <f t="shared" si="5"/>
        <v>2885.208</v>
      </c>
      <c r="M82" s="6">
        <f t="shared" si="6"/>
        <v>4004957.225</v>
      </c>
      <c r="N82" s="6">
        <f t="shared" si="7"/>
        <v>1716410.239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  <c r="H83" s="6">
        <f t="shared" si="1"/>
        <v>715.41</v>
      </c>
      <c r="I83" s="6">
        <f t="shared" si="2"/>
        <v>379167.3</v>
      </c>
      <c r="J83" s="68">
        <f t="shared" si="3"/>
        <v>954</v>
      </c>
      <c r="K83" s="6">
        <f t="shared" si="4"/>
        <v>1251.9675</v>
      </c>
      <c r="L83" s="6">
        <f t="shared" si="5"/>
        <v>715.41</v>
      </c>
      <c r="M83" s="6">
        <f t="shared" si="6"/>
        <v>1194376.995</v>
      </c>
      <c r="N83" s="6">
        <f t="shared" si="7"/>
        <v>511875.855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  <c r="J84" s="68">
        <f t="shared" si="3"/>
        <v>1264.8</v>
      </c>
      <c r="K84" s="6">
        <f t="shared" si="4"/>
        <v>5586.7455</v>
      </c>
      <c r="L84" s="6">
        <f t="shared" si="5"/>
        <v>3192.426</v>
      </c>
      <c r="M84" s="6">
        <f t="shared" si="6"/>
        <v>7066115.708</v>
      </c>
      <c r="N84" s="6">
        <f t="shared" si="7"/>
        <v>3028335.304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  <c r="J85" s="68">
        <f t="shared" si="3"/>
        <v>837.6</v>
      </c>
      <c r="K85" s="6">
        <f t="shared" si="4"/>
        <v>5621.2065</v>
      </c>
      <c r="L85" s="6">
        <f t="shared" si="5"/>
        <v>3212.118</v>
      </c>
      <c r="M85" s="6">
        <f t="shared" si="6"/>
        <v>4708322.564</v>
      </c>
      <c r="N85" s="6">
        <f t="shared" si="7"/>
        <v>2017852.528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  <c r="J86" s="68">
        <f t="shared" si="3"/>
        <v>1299.6</v>
      </c>
      <c r="K86" s="6">
        <f t="shared" si="4"/>
        <v>5945.8665</v>
      </c>
      <c r="L86" s="6">
        <f t="shared" si="5"/>
        <v>3397.638</v>
      </c>
      <c r="M86" s="6">
        <f t="shared" si="6"/>
        <v>7727248.103</v>
      </c>
      <c r="N86" s="6">
        <f t="shared" si="7"/>
        <v>3311677.759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  <c r="J87" s="68">
        <f t="shared" si="3"/>
        <v>292.8</v>
      </c>
      <c r="K87" s="6">
        <f t="shared" si="4"/>
        <v>22914.8535</v>
      </c>
      <c r="L87" s="6">
        <f t="shared" si="5"/>
        <v>13094.202</v>
      </c>
      <c r="M87" s="6">
        <f t="shared" si="6"/>
        <v>6709469.105</v>
      </c>
      <c r="N87" s="6">
        <f t="shared" si="7"/>
        <v>2875486.759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  <c r="J88" s="68">
        <f t="shared" si="3"/>
        <v>283.2</v>
      </c>
      <c r="K88" s="6">
        <f t="shared" si="4"/>
        <v>23044.6545</v>
      </c>
      <c r="L88" s="6">
        <f t="shared" si="5"/>
        <v>13168.374</v>
      </c>
      <c r="M88" s="6">
        <f t="shared" si="6"/>
        <v>6526246.154</v>
      </c>
      <c r="N88" s="6">
        <f t="shared" si="7"/>
        <v>2796962.638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  <c r="J89" s="68">
        <f t="shared" si="3"/>
        <v>402</v>
      </c>
      <c r="K89" s="6">
        <f t="shared" si="4"/>
        <v>7309.848</v>
      </c>
      <c r="L89" s="6">
        <f t="shared" si="5"/>
        <v>4177.056</v>
      </c>
      <c r="M89" s="6">
        <f t="shared" si="6"/>
        <v>2938558.896</v>
      </c>
      <c r="N89" s="6">
        <f t="shared" si="7"/>
        <v>1259382.384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  <c r="J90" s="68">
        <f t="shared" si="3"/>
        <v>1267.2</v>
      </c>
      <c r="K90" s="6">
        <f t="shared" si="4"/>
        <v>1190.259</v>
      </c>
      <c r="L90" s="6">
        <f t="shared" si="5"/>
        <v>680.148</v>
      </c>
      <c r="M90" s="6">
        <f t="shared" si="6"/>
        <v>1508296.205</v>
      </c>
      <c r="N90" s="6">
        <f t="shared" si="7"/>
        <v>646412.6592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  <c r="J91" s="68">
        <f t="shared" si="3"/>
        <v>481.2</v>
      </c>
      <c r="K91" s="6">
        <f t="shared" si="4"/>
        <v>7463.4315</v>
      </c>
      <c r="L91" s="6">
        <f t="shared" si="5"/>
        <v>4264.818</v>
      </c>
      <c r="M91" s="6">
        <f t="shared" si="6"/>
        <v>3591403.238</v>
      </c>
      <c r="N91" s="6">
        <f t="shared" si="7"/>
        <v>1539172.816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  <c r="J92" s="68">
        <f t="shared" si="3"/>
        <v>982.8</v>
      </c>
      <c r="K92" s="6">
        <f t="shared" si="4"/>
        <v>5898.9315</v>
      </c>
      <c r="L92" s="6">
        <f t="shared" si="5"/>
        <v>3370.818</v>
      </c>
      <c r="M92" s="6">
        <f t="shared" si="6"/>
        <v>5797469.878</v>
      </c>
      <c r="N92" s="6">
        <f t="shared" si="7"/>
        <v>2484629.948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  <c r="J93" s="68">
        <f t="shared" si="3"/>
        <v>1183.2</v>
      </c>
      <c r="K93" s="6">
        <f t="shared" si="4"/>
        <v>5664.0465</v>
      </c>
      <c r="L93" s="6">
        <f t="shared" si="5"/>
        <v>3236.598</v>
      </c>
      <c r="M93" s="6">
        <f t="shared" si="6"/>
        <v>6701699.819</v>
      </c>
      <c r="N93" s="6">
        <f t="shared" si="7"/>
        <v>2872157.065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  <c r="J94" s="68">
        <f t="shared" si="3"/>
        <v>1209.6</v>
      </c>
      <c r="K94" s="6">
        <f t="shared" si="4"/>
        <v>5492.928</v>
      </c>
      <c r="L94" s="6">
        <f t="shared" si="5"/>
        <v>3138.816</v>
      </c>
      <c r="M94" s="6">
        <f t="shared" si="6"/>
        <v>6644245.709</v>
      </c>
      <c r="N94" s="6">
        <f t="shared" si="7"/>
        <v>2847533.875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  <c r="J95" s="68">
        <f t="shared" si="3"/>
        <v>962.4</v>
      </c>
      <c r="K95" s="6">
        <f t="shared" si="4"/>
        <v>5661.117</v>
      </c>
      <c r="L95" s="6">
        <f t="shared" si="5"/>
        <v>3234.924</v>
      </c>
      <c r="M95" s="6">
        <f t="shared" si="6"/>
        <v>5448259.001</v>
      </c>
      <c r="N95" s="6">
        <f t="shared" si="7"/>
        <v>2334968.143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  <c r="J96" s="68">
        <f t="shared" si="3"/>
        <v>262.8</v>
      </c>
      <c r="K96" s="6">
        <f t="shared" si="4"/>
        <v>6813.933</v>
      </c>
      <c r="L96" s="6">
        <f t="shared" si="5"/>
        <v>3893.676</v>
      </c>
      <c r="M96" s="6">
        <f t="shared" si="6"/>
        <v>1790701.592</v>
      </c>
      <c r="N96" s="6">
        <f t="shared" si="7"/>
        <v>767443.5396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  <c r="J97" s="68">
        <f t="shared" si="3"/>
        <v>411.6</v>
      </c>
      <c r="K97" s="6">
        <f t="shared" si="4"/>
        <v>6730.3635</v>
      </c>
      <c r="L97" s="6">
        <f t="shared" si="5"/>
        <v>3845.922</v>
      </c>
      <c r="M97" s="6">
        <f t="shared" si="6"/>
        <v>2770217.617</v>
      </c>
      <c r="N97" s="6">
        <f t="shared" si="7"/>
        <v>1187236.121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  <c r="J98" s="68">
        <f t="shared" si="3"/>
        <v>259.2</v>
      </c>
      <c r="K98" s="6">
        <f t="shared" si="4"/>
        <v>21869.631</v>
      </c>
      <c r="L98" s="6">
        <f t="shared" si="5"/>
        <v>12496.932</v>
      </c>
      <c r="M98" s="6">
        <f t="shared" si="6"/>
        <v>5668608.355</v>
      </c>
      <c r="N98" s="6">
        <f t="shared" si="7"/>
        <v>2429403.581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  <c r="J99" s="68">
        <f t="shared" si="3"/>
        <v>152.4</v>
      </c>
      <c r="K99" s="6">
        <f t="shared" si="4"/>
        <v>22071.5145</v>
      </c>
      <c r="L99" s="6">
        <f t="shared" si="5"/>
        <v>12612.294</v>
      </c>
      <c r="M99" s="6">
        <f t="shared" si="6"/>
        <v>3363698.81</v>
      </c>
      <c r="N99" s="6">
        <f t="shared" si="7"/>
        <v>1441585.204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  <c r="J100" s="68">
        <f t="shared" si="3"/>
        <v>1081.2</v>
      </c>
      <c r="K100" s="6">
        <f t="shared" si="4"/>
        <v>1441.4085</v>
      </c>
      <c r="L100" s="6">
        <f t="shared" si="5"/>
        <v>823.662</v>
      </c>
      <c r="M100" s="6">
        <f t="shared" si="6"/>
        <v>1558450.87</v>
      </c>
      <c r="N100" s="6">
        <f t="shared" si="7"/>
        <v>667907.5158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  <c r="J101" s="68">
        <f t="shared" si="3"/>
        <v>256.8</v>
      </c>
      <c r="K101" s="6">
        <f t="shared" si="4"/>
        <v>21321.216</v>
      </c>
      <c r="L101" s="6">
        <f t="shared" si="5"/>
        <v>12183.552</v>
      </c>
      <c r="M101" s="6">
        <f t="shared" si="6"/>
        <v>5475288.269</v>
      </c>
      <c r="N101" s="6">
        <f t="shared" si="7"/>
        <v>2346552.115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  <c r="J102" s="68">
        <f t="shared" si="3"/>
        <v>186</v>
      </c>
      <c r="K102" s="6">
        <f t="shared" si="4"/>
        <v>22694.322</v>
      </c>
      <c r="L102" s="6">
        <f t="shared" si="5"/>
        <v>12968.184</v>
      </c>
      <c r="M102" s="6">
        <f t="shared" si="6"/>
        <v>4221143.892</v>
      </c>
      <c r="N102" s="6">
        <f t="shared" si="7"/>
        <v>1809061.668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  <c r="J103" s="68">
        <f t="shared" si="3"/>
        <v>196.8</v>
      </c>
      <c r="K103" s="6">
        <f t="shared" si="4"/>
        <v>23446.2165</v>
      </c>
      <c r="L103" s="6">
        <f t="shared" si="5"/>
        <v>13397.838</v>
      </c>
      <c r="M103" s="6">
        <f t="shared" si="6"/>
        <v>4614215.407</v>
      </c>
      <c r="N103" s="6">
        <f t="shared" si="7"/>
        <v>1977520.889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  <c r="J104" s="68">
        <f t="shared" si="3"/>
        <v>1057.2</v>
      </c>
      <c r="K104" s="6">
        <f t="shared" si="4"/>
        <v>5636.589</v>
      </c>
      <c r="L104" s="6">
        <f t="shared" si="5"/>
        <v>3220.908</v>
      </c>
      <c r="M104" s="6">
        <f t="shared" si="6"/>
        <v>5959001.891</v>
      </c>
      <c r="N104" s="6">
        <f t="shared" si="7"/>
        <v>2553857.953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  <c r="J105" s="68">
        <f t="shared" si="3"/>
        <v>837.6</v>
      </c>
      <c r="K105" s="6">
        <f t="shared" si="4"/>
        <v>5546.856</v>
      </c>
      <c r="L105" s="6">
        <f t="shared" si="5"/>
        <v>3169.632</v>
      </c>
      <c r="M105" s="6">
        <f t="shared" si="6"/>
        <v>4646046.586</v>
      </c>
      <c r="N105" s="6">
        <f t="shared" si="7"/>
        <v>1991162.822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  <c r="J106" s="68">
        <f t="shared" si="3"/>
        <v>232.8</v>
      </c>
      <c r="K106" s="6">
        <f t="shared" si="4"/>
        <v>22843.4115</v>
      </c>
      <c r="L106" s="6">
        <f t="shared" si="5"/>
        <v>13053.378</v>
      </c>
      <c r="M106" s="6">
        <f t="shared" si="6"/>
        <v>5317946.197</v>
      </c>
      <c r="N106" s="6">
        <f t="shared" si="7"/>
        <v>2279119.799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  <c r="J107" s="68">
        <f t="shared" si="3"/>
        <v>218.4</v>
      </c>
      <c r="K107" s="6">
        <f t="shared" si="4"/>
        <v>22737.351</v>
      </c>
      <c r="L107" s="6">
        <f t="shared" si="5"/>
        <v>12992.772</v>
      </c>
      <c r="M107" s="6">
        <f t="shared" si="6"/>
        <v>4965837.458</v>
      </c>
      <c r="N107" s="6">
        <f t="shared" si="7"/>
        <v>2128216.054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  <c r="J108" s="68">
        <f t="shared" si="3"/>
        <v>446.4</v>
      </c>
      <c r="K108" s="6">
        <f t="shared" si="4"/>
        <v>6603.891</v>
      </c>
      <c r="L108" s="6">
        <f t="shared" si="5"/>
        <v>3773.652</v>
      </c>
      <c r="M108" s="6">
        <f t="shared" si="6"/>
        <v>2947976.942</v>
      </c>
      <c r="N108" s="6">
        <f t="shared" si="7"/>
        <v>1263418.69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  <c r="J109" s="68">
        <f t="shared" si="3"/>
        <v>325.2</v>
      </c>
      <c r="K109" s="6">
        <f t="shared" si="4"/>
        <v>7203.6825</v>
      </c>
      <c r="L109" s="6">
        <f t="shared" si="5"/>
        <v>4116.39</v>
      </c>
      <c r="M109" s="6">
        <f t="shared" si="6"/>
        <v>2342637.549</v>
      </c>
      <c r="N109" s="6">
        <f t="shared" si="7"/>
        <v>1003987.521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  <c r="J110" s="68">
        <f t="shared" si="3"/>
        <v>260.4</v>
      </c>
      <c r="K110" s="6">
        <f t="shared" si="4"/>
        <v>22139.9535</v>
      </c>
      <c r="L110" s="6">
        <f t="shared" si="5"/>
        <v>12651.402</v>
      </c>
      <c r="M110" s="6">
        <f t="shared" si="6"/>
        <v>5765243.891</v>
      </c>
      <c r="N110" s="6">
        <f t="shared" si="7"/>
        <v>2470818.811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  <c r="J111" s="68">
        <f t="shared" si="3"/>
        <v>1200</v>
      </c>
      <c r="K111" s="6">
        <f t="shared" si="4"/>
        <v>5752.4985</v>
      </c>
      <c r="L111" s="6">
        <f t="shared" si="5"/>
        <v>3287.142</v>
      </c>
      <c r="M111" s="6">
        <f t="shared" si="6"/>
        <v>6902998.2</v>
      </c>
      <c r="N111" s="6">
        <f t="shared" si="7"/>
        <v>2958427.8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  <c r="J112" s="68">
        <f t="shared" si="3"/>
        <v>1412.4</v>
      </c>
      <c r="K112" s="6">
        <f t="shared" si="4"/>
        <v>5607.651</v>
      </c>
      <c r="L112" s="6">
        <f t="shared" si="5"/>
        <v>3204.372</v>
      </c>
      <c r="M112" s="6">
        <f t="shared" si="6"/>
        <v>7920246.272</v>
      </c>
      <c r="N112" s="6">
        <f t="shared" si="7"/>
        <v>3394391.26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  <c r="J113" s="68">
        <f t="shared" si="3"/>
        <v>537.6</v>
      </c>
      <c r="K113" s="6">
        <f t="shared" si="4"/>
        <v>7050.6135</v>
      </c>
      <c r="L113" s="6">
        <f t="shared" si="5"/>
        <v>4028.922</v>
      </c>
      <c r="M113" s="6">
        <f t="shared" si="6"/>
        <v>3790409.818</v>
      </c>
      <c r="N113" s="6">
        <f t="shared" si="7"/>
        <v>1624461.35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  <c r="J114" s="68">
        <f t="shared" si="3"/>
        <v>246</v>
      </c>
      <c r="K114" s="6">
        <f t="shared" si="4"/>
        <v>21144.1545</v>
      </c>
      <c r="L114" s="6">
        <f t="shared" si="5"/>
        <v>12082.374</v>
      </c>
      <c r="M114" s="6">
        <f t="shared" si="6"/>
        <v>5201462.007</v>
      </c>
      <c r="N114" s="6">
        <f t="shared" si="7"/>
        <v>2229198.003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  <c r="J115" s="68">
        <f t="shared" si="3"/>
        <v>1258.8</v>
      </c>
      <c r="K115" s="6">
        <f t="shared" si="4"/>
        <v>5553.3345</v>
      </c>
      <c r="L115" s="6">
        <f t="shared" si="5"/>
        <v>3173.334</v>
      </c>
      <c r="M115" s="6">
        <f t="shared" si="6"/>
        <v>6990537.469</v>
      </c>
      <c r="N115" s="6">
        <f t="shared" si="7"/>
        <v>2995944.629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  <c r="J116" s="68">
        <f t="shared" si="3"/>
        <v>458.4</v>
      </c>
      <c r="K116" s="6">
        <f t="shared" si="4"/>
        <v>6479.298</v>
      </c>
      <c r="L116" s="6">
        <f t="shared" si="5"/>
        <v>3702.456</v>
      </c>
      <c r="M116" s="6">
        <f t="shared" si="6"/>
        <v>2970110.203</v>
      </c>
      <c r="N116" s="6">
        <f t="shared" si="7"/>
        <v>1272904.373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  <c r="J117" s="68">
        <f t="shared" si="3"/>
        <v>1314</v>
      </c>
      <c r="K117" s="6">
        <f t="shared" si="4"/>
        <v>1417.4895</v>
      </c>
      <c r="L117" s="6">
        <f t="shared" si="5"/>
        <v>809.994</v>
      </c>
      <c r="M117" s="6">
        <f t="shared" si="6"/>
        <v>1862581.203</v>
      </c>
      <c r="N117" s="6">
        <f t="shared" si="7"/>
        <v>798249.087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  <c r="J118" s="68">
        <f t="shared" si="3"/>
        <v>792</v>
      </c>
      <c r="K118" s="6">
        <f t="shared" si="4"/>
        <v>5453.6475</v>
      </c>
      <c r="L118" s="6">
        <f t="shared" si="5"/>
        <v>3116.37</v>
      </c>
      <c r="M118" s="6">
        <f t="shared" si="6"/>
        <v>4319288.82</v>
      </c>
      <c r="N118" s="6">
        <f t="shared" si="7"/>
        <v>1851123.78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  <c r="J119" s="68">
        <f t="shared" si="3"/>
        <v>998.4</v>
      </c>
      <c r="K119" s="6">
        <f t="shared" si="4"/>
        <v>5398.5015</v>
      </c>
      <c r="L119" s="6">
        <f t="shared" si="5"/>
        <v>3084.858</v>
      </c>
      <c r="M119" s="6">
        <f t="shared" si="6"/>
        <v>5389863.898</v>
      </c>
      <c r="N119" s="6">
        <f t="shared" si="7"/>
        <v>2309941.67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  <c r="J120" s="68">
        <f t="shared" si="3"/>
        <v>172.8</v>
      </c>
      <c r="K120" s="6">
        <f t="shared" si="4"/>
        <v>22049.8005</v>
      </c>
      <c r="L120" s="6">
        <f t="shared" si="5"/>
        <v>12599.886</v>
      </c>
      <c r="M120" s="6">
        <f t="shared" si="6"/>
        <v>3810205.526</v>
      </c>
      <c r="N120" s="6">
        <f t="shared" si="7"/>
        <v>1632945.226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  <c r="J121" s="68">
        <f t="shared" si="3"/>
        <v>247.2</v>
      </c>
      <c r="K121" s="6">
        <f t="shared" si="4"/>
        <v>22345.1655</v>
      </c>
      <c r="L121" s="6">
        <f t="shared" si="5"/>
        <v>12768.666</v>
      </c>
      <c r="M121" s="6">
        <f t="shared" si="6"/>
        <v>5523724.912</v>
      </c>
      <c r="N121" s="6">
        <f t="shared" si="7"/>
        <v>2367310.676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  <c r="J122" s="68">
        <f t="shared" si="3"/>
        <v>787.2</v>
      </c>
      <c r="K122" s="6">
        <f t="shared" si="4"/>
        <v>1279.0575</v>
      </c>
      <c r="L122" s="6">
        <f t="shared" si="5"/>
        <v>730.89</v>
      </c>
      <c r="M122" s="6">
        <f t="shared" si="6"/>
        <v>1006874.064</v>
      </c>
      <c r="N122" s="6">
        <f t="shared" si="7"/>
        <v>431517.456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  <c r="J123" s="68">
        <f t="shared" si="3"/>
        <v>152.4</v>
      </c>
      <c r="K123" s="6">
        <f t="shared" si="4"/>
        <v>21923.8005</v>
      </c>
      <c r="L123" s="6">
        <f t="shared" si="5"/>
        <v>12527.886</v>
      </c>
      <c r="M123" s="6">
        <f t="shared" si="6"/>
        <v>3341187.196</v>
      </c>
      <c r="N123" s="6">
        <f t="shared" si="7"/>
        <v>1431937.37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  <c r="J124" s="68">
        <f t="shared" si="3"/>
        <v>1350</v>
      </c>
      <c r="K124" s="6">
        <f t="shared" si="4"/>
        <v>5747.0385</v>
      </c>
      <c r="L124" s="6">
        <f t="shared" si="5"/>
        <v>3284.022</v>
      </c>
      <c r="M124" s="6">
        <f t="shared" si="6"/>
        <v>7758501.975</v>
      </c>
      <c r="N124" s="6">
        <f t="shared" si="7"/>
        <v>3325072.275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  <c r="J125" s="68">
        <f t="shared" si="3"/>
        <v>256.8</v>
      </c>
      <c r="K125" s="6">
        <f t="shared" si="4"/>
        <v>22970.6715</v>
      </c>
      <c r="L125" s="6">
        <f t="shared" si="5"/>
        <v>13126.098</v>
      </c>
      <c r="M125" s="6">
        <f t="shared" si="6"/>
        <v>5898868.441</v>
      </c>
      <c r="N125" s="6">
        <f t="shared" si="7"/>
        <v>2528086.475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  <c r="J126" s="68">
        <f t="shared" si="3"/>
        <v>752.4</v>
      </c>
      <c r="K126" s="6">
        <f t="shared" si="4"/>
        <v>5429.2245</v>
      </c>
      <c r="L126" s="6">
        <f t="shared" si="5"/>
        <v>3102.414</v>
      </c>
      <c r="M126" s="6">
        <f t="shared" si="6"/>
        <v>4084948.514</v>
      </c>
      <c r="N126" s="6">
        <f t="shared" si="7"/>
        <v>1750692.22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  <c r="J127" s="68">
        <f t="shared" si="3"/>
        <v>1414.8</v>
      </c>
      <c r="K127" s="6">
        <f t="shared" si="4"/>
        <v>5337.8745</v>
      </c>
      <c r="L127" s="6">
        <f t="shared" si="5"/>
        <v>3050.214</v>
      </c>
      <c r="M127" s="6">
        <f t="shared" si="6"/>
        <v>7552024.843</v>
      </c>
      <c r="N127" s="6">
        <f t="shared" si="7"/>
        <v>3236582.075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  <c r="J128" s="68">
        <f t="shared" si="3"/>
        <v>512.4</v>
      </c>
      <c r="K128" s="6">
        <f t="shared" si="4"/>
        <v>7782.915</v>
      </c>
      <c r="L128" s="6">
        <f t="shared" si="5"/>
        <v>4447.38</v>
      </c>
      <c r="M128" s="6">
        <f t="shared" si="6"/>
        <v>3987965.646</v>
      </c>
      <c r="N128" s="6">
        <f t="shared" si="7"/>
        <v>1709128.134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  <c r="J129" s="68">
        <f t="shared" si="3"/>
        <v>289.2</v>
      </c>
      <c r="K129" s="6">
        <f t="shared" si="4"/>
        <v>7354.578</v>
      </c>
      <c r="L129" s="6">
        <f t="shared" si="5"/>
        <v>4202.616</v>
      </c>
      <c r="M129" s="6">
        <f t="shared" si="6"/>
        <v>2126943.958</v>
      </c>
      <c r="N129" s="6">
        <f t="shared" si="7"/>
        <v>911547.4104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  <c r="J130" s="68">
        <f t="shared" si="3"/>
        <v>195.6</v>
      </c>
      <c r="K130" s="6">
        <f t="shared" si="4"/>
        <v>20967.429</v>
      </c>
      <c r="L130" s="6">
        <f t="shared" si="5"/>
        <v>11981.388</v>
      </c>
      <c r="M130" s="6">
        <f t="shared" si="6"/>
        <v>4101229.112</v>
      </c>
      <c r="N130" s="6">
        <f t="shared" si="7"/>
        <v>1757669.62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  <c r="J131" s="68">
        <f t="shared" si="3"/>
        <v>1243.2</v>
      </c>
      <c r="K131" s="6">
        <f t="shared" si="4"/>
        <v>5762.673</v>
      </c>
      <c r="L131" s="6">
        <f t="shared" si="5"/>
        <v>3292.956</v>
      </c>
      <c r="M131" s="6">
        <f t="shared" si="6"/>
        <v>7164155.074</v>
      </c>
      <c r="N131" s="6">
        <f t="shared" si="7"/>
        <v>3070352.174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  <c r="J132" s="68">
        <f t="shared" si="3"/>
        <v>373.2</v>
      </c>
      <c r="K132" s="6">
        <f t="shared" si="4"/>
        <v>6914.7015</v>
      </c>
      <c r="L132" s="6">
        <f t="shared" si="5"/>
        <v>3951.258</v>
      </c>
      <c r="M132" s="6">
        <f t="shared" si="6"/>
        <v>2580566.6</v>
      </c>
      <c r="N132" s="6">
        <f t="shared" si="7"/>
        <v>1105957.114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  <c r="J133" s="68">
        <f t="shared" si="3"/>
        <v>1010.4</v>
      </c>
      <c r="K133" s="6">
        <f t="shared" si="4"/>
        <v>5478.1755</v>
      </c>
      <c r="L133" s="6">
        <f t="shared" si="5"/>
        <v>3130.386</v>
      </c>
      <c r="M133" s="6">
        <f t="shared" si="6"/>
        <v>5535148.525</v>
      </c>
      <c r="N133" s="6">
        <f t="shared" si="7"/>
        <v>2372206.511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  <c r="J134" s="68">
        <f t="shared" si="3"/>
        <v>746.4</v>
      </c>
      <c r="K134" s="6">
        <f t="shared" si="4"/>
        <v>1278.27</v>
      </c>
      <c r="L134" s="6">
        <f t="shared" si="5"/>
        <v>730.44</v>
      </c>
      <c r="M134" s="6">
        <f t="shared" si="6"/>
        <v>954100.728</v>
      </c>
      <c r="N134" s="6">
        <f t="shared" si="7"/>
        <v>408900.312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  <c r="J135" s="68">
        <f t="shared" si="3"/>
        <v>1323.6</v>
      </c>
      <c r="K135" s="6">
        <f t="shared" si="4"/>
        <v>5755.6485</v>
      </c>
      <c r="L135" s="6">
        <f t="shared" si="5"/>
        <v>3288.942</v>
      </c>
      <c r="M135" s="6">
        <f t="shared" si="6"/>
        <v>7618176.355</v>
      </c>
      <c r="N135" s="6">
        <f t="shared" si="7"/>
        <v>3264932.723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  <c r="J136" s="68">
        <f t="shared" si="3"/>
        <v>482.4</v>
      </c>
      <c r="K136" s="6">
        <f t="shared" si="4"/>
        <v>6509.139</v>
      </c>
      <c r="L136" s="6">
        <f t="shared" si="5"/>
        <v>3719.508</v>
      </c>
      <c r="M136" s="6">
        <f t="shared" si="6"/>
        <v>3140008.654</v>
      </c>
      <c r="N136" s="6">
        <f t="shared" si="7"/>
        <v>1345717.994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  <c r="J137" s="68">
        <f t="shared" si="3"/>
        <v>200.4</v>
      </c>
      <c r="K137" s="6">
        <f t="shared" si="4"/>
        <v>23031.4245</v>
      </c>
      <c r="L137" s="6">
        <f t="shared" si="5"/>
        <v>13160.814</v>
      </c>
      <c r="M137" s="6">
        <f t="shared" si="6"/>
        <v>4615497.47</v>
      </c>
      <c r="N137" s="6">
        <f t="shared" si="7"/>
        <v>1978070.344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  <c r="J138" s="68">
        <f t="shared" si="3"/>
        <v>886.8</v>
      </c>
      <c r="K138" s="6">
        <f t="shared" si="4"/>
        <v>5619.537</v>
      </c>
      <c r="L138" s="6">
        <f t="shared" si="5"/>
        <v>3211.164</v>
      </c>
      <c r="M138" s="6">
        <f t="shared" si="6"/>
        <v>4983405.412</v>
      </c>
      <c r="N138" s="6">
        <f t="shared" si="7"/>
        <v>2135745.176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  <c r="J139" s="68">
        <f t="shared" si="3"/>
        <v>549.6</v>
      </c>
      <c r="K139" s="6">
        <f t="shared" si="4"/>
        <v>6750.1455</v>
      </c>
      <c r="L139" s="6">
        <f t="shared" si="5"/>
        <v>3857.226</v>
      </c>
      <c r="M139" s="6">
        <f t="shared" si="6"/>
        <v>3709879.967</v>
      </c>
      <c r="N139" s="6">
        <f t="shared" si="7"/>
        <v>1589948.557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  <c r="J140" s="68">
        <f t="shared" si="3"/>
        <v>124.8</v>
      </c>
      <c r="K140" s="6">
        <f t="shared" si="4"/>
        <v>23420.2815</v>
      </c>
      <c r="L140" s="6">
        <f t="shared" si="5"/>
        <v>13383.018</v>
      </c>
      <c r="M140" s="6">
        <f t="shared" si="6"/>
        <v>2922851.131</v>
      </c>
      <c r="N140" s="6">
        <f t="shared" si="7"/>
        <v>1252650.485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  <c r="J141" s="68">
        <f t="shared" si="3"/>
        <v>1378.8</v>
      </c>
      <c r="K141" s="6">
        <f t="shared" si="4"/>
        <v>5443.851</v>
      </c>
      <c r="L141" s="6">
        <f t="shared" si="5"/>
        <v>3110.772</v>
      </c>
      <c r="M141" s="6">
        <f t="shared" si="6"/>
        <v>7505981.759</v>
      </c>
      <c r="N141" s="6">
        <f t="shared" si="7"/>
        <v>3216849.325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  <c r="J142" s="68">
        <f t="shared" si="3"/>
        <v>212.4</v>
      </c>
      <c r="K142" s="6">
        <f t="shared" si="4"/>
        <v>22147.944</v>
      </c>
      <c r="L142" s="6">
        <f t="shared" si="5"/>
        <v>12655.968</v>
      </c>
      <c r="M142" s="6">
        <f t="shared" si="6"/>
        <v>4704223.306</v>
      </c>
      <c r="N142" s="6">
        <f t="shared" si="7"/>
        <v>2016095.702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  <c r="J143" s="68">
        <f t="shared" si="3"/>
        <v>897.6</v>
      </c>
      <c r="K143" s="6">
        <f t="shared" si="4"/>
        <v>1129.611</v>
      </c>
      <c r="L143" s="6">
        <f t="shared" si="5"/>
        <v>645.492</v>
      </c>
      <c r="M143" s="6">
        <f t="shared" si="6"/>
        <v>1013938.834</v>
      </c>
      <c r="N143" s="6">
        <f t="shared" si="7"/>
        <v>434545.2144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  <c r="J144" s="68">
        <f t="shared" si="3"/>
        <v>190.8</v>
      </c>
      <c r="K144" s="6">
        <f t="shared" si="4"/>
        <v>22307.481</v>
      </c>
      <c r="L144" s="6">
        <f t="shared" si="5"/>
        <v>12747.132</v>
      </c>
      <c r="M144" s="6">
        <f t="shared" si="6"/>
        <v>4256267.375</v>
      </c>
      <c r="N144" s="6">
        <f t="shared" si="7"/>
        <v>1824114.589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  <c r="J145" s="68">
        <f t="shared" si="3"/>
        <v>769.2</v>
      </c>
      <c r="K145" s="6">
        <f t="shared" si="4"/>
        <v>5497.9995</v>
      </c>
      <c r="L145" s="6">
        <f t="shared" si="5"/>
        <v>3141.714</v>
      </c>
      <c r="M145" s="6">
        <f t="shared" si="6"/>
        <v>4229061.215</v>
      </c>
      <c r="N145" s="6">
        <f t="shared" si="7"/>
        <v>1812454.807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  <c r="J146" s="68">
        <f t="shared" si="3"/>
        <v>363.6</v>
      </c>
      <c r="K146" s="6">
        <f t="shared" si="4"/>
        <v>6821.934</v>
      </c>
      <c r="L146" s="6">
        <f t="shared" si="5"/>
        <v>3898.248</v>
      </c>
      <c r="M146" s="6">
        <f t="shared" si="6"/>
        <v>2480455.202</v>
      </c>
      <c r="N146" s="6">
        <f t="shared" si="7"/>
        <v>1063052.23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  <c r="J147" s="68">
        <f t="shared" si="3"/>
        <v>892.8</v>
      </c>
      <c r="K147" s="6">
        <f t="shared" si="4"/>
        <v>5096.6265</v>
      </c>
      <c r="L147" s="6">
        <f t="shared" si="5"/>
        <v>2912.358</v>
      </c>
      <c r="M147" s="6">
        <f t="shared" si="6"/>
        <v>4550268.139</v>
      </c>
      <c r="N147" s="6">
        <f t="shared" si="7"/>
        <v>1950114.917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  <c r="J148" s="68">
        <f t="shared" si="3"/>
        <v>182.4</v>
      </c>
      <c r="K148" s="6">
        <f t="shared" si="4"/>
        <v>22772.9145</v>
      </c>
      <c r="L148" s="6">
        <f t="shared" si="5"/>
        <v>13013.094</v>
      </c>
      <c r="M148" s="6">
        <f t="shared" si="6"/>
        <v>4153779.605</v>
      </c>
      <c r="N148" s="6">
        <f t="shared" si="7"/>
        <v>1780191.259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  <c r="J149" s="68">
        <f t="shared" si="3"/>
        <v>453.6</v>
      </c>
      <c r="K149" s="6">
        <f t="shared" si="4"/>
        <v>7277.823</v>
      </c>
      <c r="L149" s="6">
        <f t="shared" si="5"/>
        <v>4158.756</v>
      </c>
      <c r="M149" s="6">
        <f t="shared" si="6"/>
        <v>3301220.513</v>
      </c>
      <c r="N149" s="6">
        <f t="shared" si="7"/>
        <v>1414808.791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  <c r="J150" s="68">
        <f t="shared" si="3"/>
        <v>1052.4</v>
      </c>
      <c r="K150" s="6">
        <f t="shared" si="4"/>
        <v>1279.0995</v>
      </c>
      <c r="L150" s="6">
        <f t="shared" si="5"/>
        <v>730.914</v>
      </c>
      <c r="M150" s="6">
        <f t="shared" si="6"/>
        <v>1346124.314</v>
      </c>
      <c r="N150" s="6">
        <f t="shared" si="7"/>
        <v>576910.4202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  <c r="J151" s="68">
        <f t="shared" si="3"/>
        <v>585.6</v>
      </c>
      <c r="K151" s="6">
        <f t="shared" si="4"/>
        <v>7113.1935</v>
      </c>
      <c r="L151" s="6">
        <f t="shared" si="5"/>
        <v>4064.682</v>
      </c>
      <c r="M151" s="6">
        <f t="shared" si="6"/>
        <v>4165486.114</v>
      </c>
      <c r="N151" s="6">
        <f t="shared" si="7"/>
        <v>1785208.334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  <c r="J152" s="68">
        <f t="shared" si="3"/>
        <v>124.8</v>
      </c>
      <c r="K152" s="6">
        <f t="shared" si="4"/>
        <v>22283.079</v>
      </c>
      <c r="L152" s="6">
        <f t="shared" si="5"/>
        <v>12733.188</v>
      </c>
      <c r="M152" s="6">
        <f t="shared" si="6"/>
        <v>2780928.259</v>
      </c>
      <c r="N152" s="6">
        <f t="shared" si="7"/>
        <v>1191826.397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  <c r="J153" s="68">
        <f t="shared" si="3"/>
        <v>1314</v>
      </c>
      <c r="K153" s="6">
        <f t="shared" si="4"/>
        <v>1347.0555</v>
      </c>
      <c r="L153" s="6">
        <f t="shared" si="5"/>
        <v>769.746</v>
      </c>
      <c r="M153" s="6">
        <f t="shared" si="6"/>
        <v>1770030.927</v>
      </c>
      <c r="N153" s="6">
        <f t="shared" si="7"/>
        <v>758584.683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  <c r="J154" s="68">
        <f t="shared" si="3"/>
        <v>775.2</v>
      </c>
      <c r="K154" s="6">
        <f t="shared" si="4"/>
        <v>5861.9925</v>
      </c>
      <c r="L154" s="6">
        <f t="shared" si="5"/>
        <v>3349.71</v>
      </c>
      <c r="M154" s="6">
        <f t="shared" si="6"/>
        <v>4544216.586</v>
      </c>
      <c r="N154" s="6">
        <f t="shared" si="7"/>
        <v>1947521.394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  <c r="J155" s="68">
        <f t="shared" si="3"/>
        <v>829.2</v>
      </c>
      <c r="K155" s="6">
        <f t="shared" si="4"/>
        <v>1210.272</v>
      </c>
      <c r="L155" s="6">
        <f t="shared" si="5"/>
        <v>691.584</v>
      </c>
      <c r="M155" s="6">
        <f t="shared" si="6"/>
        <v>1003557.542</v>
      </c>
      <c r="N155" s="6">
        <f t="shared" si="7"/>
        <v>430096.0896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  <c r="J156" s="68">
        <f t="shared" si="3"/>
        <v>543.6</v>
      </c>
      <c r="K156" s="6">
        <f t="shared" si="4"/>
        <v>7088.739</v>
      </c>
      <c r="L156" s="6">
        <f t="shared" si="5"/>
        <v>4050.708</v>
      </c>
      <c r="M156" s="6">
        <f t="shared" si="6"/>
        <v>3853438.52</v>
      </c>
      <c r="N156" s="6">
        <f t="shared" si="7"/>
        <v>1651473.652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  <c r="J157" s="68">
        <f t="shared" si="3"/>
        <v>740.4</v>
      </c>
      <c r="K157" s="6">
        <f t="shared" si="4"/>
        <v>1347.738</v>
      </c>
      <c r="L157" s="6">
        <f t="shared" si="5"/>
        <v>770.136</v>
      </c>
      <c r="M157" s="6">
        <f t="shared" si="6"/>
        <v>997865.2152</v>
      </c>
      <c r="N157" s="6">
        <f t="shared" si="7"/>
        <v>427656.5208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  <c r="J158" s="68">
        <f t="shared" si="3"/>
        <v>1270.8</v>
      </c>
      <c r="K158" s="6">
        <f t="shared" si="4"/>
        <v>5818.0395</v>
      </c>
      <c r="L158" s="6">
        <f t="shared" si="5"/>
        <v>3324.594</v>
      </c>
      <c r="M158" s="6">
        <f t="shared" si="6"/>
        <v>7393564.597</v>
      </c>
      <c r="N158" s="6">
        <f t="shared" si="7"/>
        <v>3168670.541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  <c r="J159" s="68">
        <f t="shared" si="3"/>
        <v>273.6</v>
      </c>
      <c r="K159" s="6">
        <f t="shared" si="4"/>
        <v>7246.8165</v>
      </c>
      <c r="L159" s="6">
        <f t="shared" si="5"/>
        <v>4141.038</v>
      </c>
      <c r="M159" s="6">
        <f t="shared" si="6"/>
        <v>1982728.994</v>
      </c>
      <c r="N159" s="6">
        <f t="shared" si="7"/>
        <v>849740.9976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  <c r="J160" s="68">
        <f t="shared" si="3"/>
        <v>547.2</v>
      </c>
      <c r="K160" s="6">
        <f t="shared" si="4"/>
        <v>7834.6905</v>
      </c>
      <c r="L160" s="6">
        <f t="shared" si="5"/>
        <v>4476.966</v>
      </c>
      <c r="M160" s="6">
        <f t="shared" si="6"/>
        <v>4287142.642</v>
      </c>
      <c r="N160" s="6">
        <f t="shared" si="7"/>
        <v>1837346.846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  <c r="J161" s="68">
        <f t="shared" si="3"/>
        <v>961.2</v>
      </c>
      <c r="K161" s="6">
        <f t="shared" si="4"/>
        <v>5675.0295</v>
      </c>
      <c r="L161" s="6">
        <f t="shared" si="5"/>
        <v>3242.874</v>
      </c>
      <c r="M161" s="6">
        <f t="shared" si="6"/>
        <v>5454838.355</v>
      </c>
      <c r="N161" s="6">
        <f t="shared" si="7"/>
        <v>2337787.867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  <c r="J162" s="68">
        <f t="shared" si="3"/>
        <v>1408.8</v>
      </c>
      <c r="K162" s="6">
        <f t="shared" si="4"/>
        <v>5785.878</v>
      </c>
      <c r="L162" s="6">
        <f t="shared" si="5"/>
        <v>3306.216</v>
      </c>
      <c r="M162" s="6">
        <f t="shared" si="6"/>
        <v>8151144.926</v>
      </c>
      <c r="N162" s="6">
        <f t="shared" si="7"/>
        <v>3493347.826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  <c r="J163" s="68">
        <f t="shared" si="3"/>
        <v>259.2</v>
      </c>
      <c r="K163" s="6">
        <f t="shared" si="4"/>
        <v>6957.0795</v>
      </c>
      <c r="L163" s="6">
        <f t="shared" si="5"/>
        <v>3975.474</v>
      </c>
      <c r="M163" s="6">
        <f t="shared" si="6"/>
        <v>1803275.006</v>
      </c>
      <c r="N163" s="6">
        <f t="shared" si="7"/>
        <v>772832.1456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  <c r="J164" s="68">
        <f t="shared" si="3"/>
        <v>508.8</v>
      </c>
      <c r="K164" s="6">
        <f t="shared" si="4"/>
        <v>976.8255</v>
      </c>
      <c r="L164" s="6">
        <f t="shared" si="5"/>
        <v>558.186</v>
      </c>
      <c r="M164" s="6">
        <f t="shared" si="6"/>
        <v>497008.8144</v>
      </c>
      <c r="N164" s="6">
        <f t="shared" si="7"/>
        <v>213003.7776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  <c r="J165" s="68">
        <f t="shared" si="3"/>
        <v>255.6</v>
      </c>
      <c r="K165" s="6">
        <f t="shared" si="4"/>
        <v>22529.388</v>
      </c>
      <c r="L165" s="6">
        <f t="shared" si="5"/>
        <v>12873.936</v>
      </c>
      <c r="M165" s="6">
        <f t="shared" si="6"/>
        <v>5758511.573</v>
      </c>
      <c r="N165" s="6">
        <f t="shared" si="7"/>
        <v>2467933.531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  <c r="J166" s="68">
        <f t="shared" si="3"/>
        <v>912</v>
      </c>
      <c r="K166" s="6">
        <f t="shared" si="4"/>
        <v>1231.7655</v>
      </c>
      <c r="L166" s="6">
        <f t="shared" si="5"/>
        <v>703.866</v>
      </c>
      <c r="M166" s="6">
        <f t="shared" si="6"/>
        <v>1123370.136</v>
      </c>
      <c r="N166" s="6">
        <f t="shared" si="7"/>
        <v>481444.344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  <c r="J167" s="68">
        <f t="shared" si="3"/>
        <v>547.2</v>
      </c>
      <c r="K167" s="6">
        <f t="shared" si="4"/>
        <v>6686.442</v>
      </c>
      <c r="L167" s="6">
        <f t="shared" si="5"/>
        <v>3820.824</v>
      </c>
      <c r="M167" s="6">
        <f t="shared" si="6"/>
        <v>3658821.062</v>
      </c>
      <c r="N167" s="6">
        <f t="shared" si="7"/>
        <v>1568066.17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  <c r="J168" s="68">
        <f t="shared" si="3"/>
        <v>492</v>
      </c>
      <c r="K168" s="6">
        <f t="shared" si="4"/>
        <v>6893.8695</v>
      </c>
      <c r="L168" s="6">
        <f t="shared" si="5"/>
        <v>3939.354</v>
      </c>
      <c r="M168" s="6">
        <f t="shared" si="6"/>
        <v>3391783.794</v>
      </c>
      <c r="N168" s="6">
        <f t="shared" si="7"/>
        <v>1453621.626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  <c r="J169" s="68">
        <f t="shared" si="3"/>
        <v>120</v>
      </c>
      <c r="K169" s="6">
        <f t="shared" si="4"/>
        <v>20790.756</v>
      </c>
      <c r="L169" s="6">
        <f t="shared" si="5"/>
        <v>11880.432</v>
      </c>
      <c r="M169" s="6">
        <f t="shared" si="6"/>
        <v>2494890.72</v>
      </c>
      <c r="N169" s="6">
        <f t="shared" si="7"/>
        <v>1069238.88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  <c r="J170" s="68">
        <f t="shared" si="3"/>
        <v>254.4</v>
      </c>
      <c r="K170" s="6">
        <f t="shared" si="4"/>
        <v>23621.7135</v>
      </c>
      <c r="L170" s="6">
        <f t="shared" si="5"/>
        <v>13498.122</v>
      </c>
      <c r="M170" s="6">
        <f t="shared" si="6"/>
        <v>6009363.914</v>
      </c>
      <c r="N170" s="6">
        <f t="shared" si="7"/>
        <v>2575441.678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  <c r="J171" s="68">
        <f t="shared" si="3"/>
        <v>784.8</v>
      </c>
      <c r="K171" s="6">
        <f t="shared" si="4"/>
        <v>5129.586</v>
      </c>
      <c r="L171" s="6">
        <f t="shared" si="5"/>
        <v>2931.192</v>
      </c>
      <c r="M171" s="6">
        <f t="shared" si="6"/>
        <v>4025699.093</v>
      </c>
      <c r="N171" s="6">
        <f t="shared" si="7"/>
        <v>1725299.611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  <c r="J172" s="68">
        <f t="shared" si="3"/>
        <v>433.2</v>
      </c>
      <c r="K172" s="6">
        <f t="shared" si="4"/>
        <v>6921.0015</v>
      </c>
      <c r="L172" s="6">
        <f t="shared" si="5"/>
        <v>3954.858</v>
      </c>
      <c r="M172" s="6">
        <f t="shared" si="6"/>
        <v>2998177.85</v>
      </c>
      <c r="N172" s="6">
        <f t="shared" si="7"/>
        <v>1284933.364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  <c r="J173" s="68">
        <f t="shared" si="3"/>
        <v>728.4</v>
      </c>
      <c r="K173" s="6">
        <f t="shared" si="4"/>
        <v>5550.384</v>
      </c>
      <c r="L173" s="6">
        <f t="shared" si="5"/>
        <v>3171.648</v>
      </c>
      <c r="M173" s="6">
        <f t="shared" si="6"/>
        <v>4042899.706</v>
      </c>
      <c r="N173" s="6">
        <f t="shared" si="7"/>
        <v>1732671.302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  <c r="J174" s="68">
        <f t="shared" si="3"/>
        <v>1010.4</v>
      </c>
      <c r="K174" s="6">
        <f t="shared" si="4"/>
        <v>1529.997</v>
      </c>
      <c r="L174" s="6">
        <f t="shared" si="5"/>
        <v>874.284</v>
      </c>
      <c r="M174" s="6">
        <f t="shared" si="6"/>
        <v>1545908.969</v>
      </c>
      <c r="N174" s="6">
        <f t="shared" si="7"/>
        <v>662532.4152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  <c r="J175" s="68">
        <f t="shared" si="3"/>
        <v>355.2</v>
      </c>
      <c r="K175" s="6">
        <f t="shared" si="4"/>
        <v>7081.935</v>
      </c>
      <c r="L175" s="6">
        <f t="shared" si="5"/>
        <v>4046.82</v>
      </c>
      <c r="M175" s="6">
        <f t="shared" si="6"/>
        <v>2515503.312</v>
      </c>
      <c r="N175" s="6">
        <f t="shared" si="7"/>
        <v>1078072.848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  <c r="J176" s="68">
        <f t="shared" si="3"/>
        <v>354</v>
      </c>
      <c r="K176" s="6">
        <f t="shared" si="4"/>
        <v>7039.095</v>
      </c>
      <c r="L176" s="6">
        <f t="shared" si="5"/>
        <v>4022.34</v>
      </c>
      <c r="M176" s="6">
        <f t="shared" si="6"/>
        <v>2491839.63</v>
      </c>
      <c r="N176" s="6">
        <f t="shared" si="7"/>
        <v>1067931.27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  <c r="J177" s="68">
        <f t="shared" si="3"/>
        <v>937.2</v>
      </c>
      <c r="K177" s="6">
        <f t="shared" si="4"/>
        <v>5577.9255</v>
      </c>
      <c r="L177" s="6">
        <f t="shared" si="5"/>
        <v>3187.386</v>
      </c>
      <c r="M177" s="6">
        <f t="shared" si="6"/>
        <v>5227631.779</v>
      </c>
      <c r="N177" s="6">
        <f t="shared" si="7"/>
        <v>2240413.619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  <c r="J178" s="68">
        <f t="shared" si="3"/>
        <v>554.4</v>
      </c>
      <c r="K178" s="6">
        <f t="shared" si="4"/>
        <v>7251.9825</v>
      </c>
      <c r="L178" s="6">
        <f t="shared" si="5"/>
        <v>4143.99</v>
      </c>
      <c r="M178" s="6">
        <f t="shared" si="6"/>
        <v>4020499.098</v>
      </c>
      <c r="N178" s="6">
        <f t="shared" si="7"/>
        <v>1723071.042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  <c r="J179" s="68">
        <f t="shared" si="3"/>
        <v>817.2</v>
      </c>
      <c r="K179" s="6">
        <f t="shared" si="4"/>
        <v>5663.028</v>
      </c>
      <c r="L179" s="6">
        <f t="shared" si="5"/>
        <v>3236.016</v>
      </c>
      <c r="M179" s="6">
        <f t="shared" si="6"/>
        <v>4627826.482</v>
      </c>
      <c r="N179" s="6">
        <f t="shared" si="7"/>
        <v>1983354.206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  <c r="J180" s="68">
        <f t="shared" si="3"/>
        <v>519.6</v>
      </c>
      <c r="K180" s="6">
        <f t="shared" si="4"/>
        <v>6890.5725</v>
      </c>
      <c r="L180" s="6">
        <f t="shared" si="5"/>
        <v>3937.47</v>
      </c>
      <c r="M180" s="6">
        <f t="shared" si="6"/>
        <v>3580341.471</v>
      </c>
      <c r="N180" s="6">
        <f t="shared" si="7"/>
        <v>1534432.059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  <c r="J181" s="68">
        <f t="shared" si="3"/>
        <v>1026</v>
      </c>
      <c r="K181" s="6">
        <f t="shared" si="4"/>
        <v>5793.5955</v>
      </c>
      <c r="L181" s="6">
        <f t="shared" si="5"/>
        <v>3310.626</v>
      </c>
      <c r="M181" s="6">
        <f t="shared" si="6"/>
        <v>5944228.983</v>
      </c>
      <c r="N181" s="6">
        <f t="shared" si="7"/>
        <v>2547526.707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  <c r="J182" s="68">
        <f t="shared" si="3"/>
        <v>1078.8</v>
      </c>
      <c r="K182" s="6">
        <f t="shared" si="4"/>
        <v>1277.472</v>
      </c>
      <c r="L182" s="6">
        <f t="shared" si="5"/>
        <v>729.984</v>
      </c>
      <c r="M182" s="6">
        <f t="shared" si="6"/>
        <v>1378136.794</v>
      </c>
      <c r="N182" s="6">
        <f t="shared" si="7"/>
        <v>590630.0544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  <c r="J183" s="68">
        <f t="shared" si="3"/>
        <v>256.8</v>
      </c>
      <c r="K183" s="6">
        <f t="shared" si="4"/>
        <v>21755.181</v>
      </c>
      <c r="L183" s="6">
        <f t="shared" si="5"/>
        <v>12431.532</v>
      </c>
      <c r="M183" s="6">
        <f t="shared" si="6"/>
        <v>5586730.481</v>
      </c>
      <c r="N183" s="6">
        <f t="shared" si="7"/>
        <v>2394313.063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  <c r="J184" s="68">
        <f t="shared" si="3"/>
        <v>148.8</v>
      </c>
      <c r="K184" s="6">
        <f t="shared" si="4"/>
        <v>22051.806</v>
      </c>
      <c r="L184" s="6">
        <f t="shared" si="5"/>
        <v>12601.032</v>
      </c>
      <c r="M184" s="6">
        <f t="shared" si="6"/>
        <v>3281308.733</v>
      </c>
      <c r="N184" s="6">
        <f t="shared" si="7"/>
        <v>1406275.171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  <c r="J185" s="68">
        <f t="shared" si="3"/>
        <v>153.6</v>
      </c>
      <c r="K185" s="6">
        <f t="shared" si="4"/>
        <v>22223.7645</v>
      </c>
      <c r="L185" s="6">
        <f t="shared" si="5"/>
        <v>12699.294</v>
      </c>
      <c r="M185" s="6">
        <f t="shared" si="6"/>
        <v>3413570.227</v>
      </c>
      <c r="N185" s="6">
        <f t="shared" si="7"/>
        <v>1462958.669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  <c r="J186" s="68">
        <f t="shared" si="3"/>
        <v>414</v>
      </c>
      <c r="K186" s="6">
        <f t="shared" si="4"/>
        <v>7459.221</v>
      </c>
      <c r="L186" s="6">
        <f t="shared" si="5"/>
        <v>4262.412</v>
      </c>
      <c r="M186" s="6">
        <f t="shared" si="6"/>
        <v>3088117.494</v>
      </c>
      <c r="N186" s="6">
        <f t="shared" si="7"/>
        <v>1323478.926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  <c r="J187" s="68">
        <f t="shared" si="3"/>
        <v>902.4</v>
      </c>
      <c r="K187" s="6">
        <f t="shared" si="4"/>
        <v>5591.628</v>
      </c>
      <c r="L187" s="6">
        <f t="shared" si="5"/>
        <v>3195.216</v>
      </c>
      <c r="M187" s="6">
        <f t="shared" si="6"/>
        <v>5045885.107</v>
      </c>
      <c r="N187" s="6">
        <f t="shared" si="7"/>
        <v>2162522.189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  <c r="J188" s="68">
        <f t="shared" si="3"/>
        <v>222</v>
      </c>
      <c r="K188" s="6">
        <f t="shared" si="4"/>
        <v>22790.061</v>
      </c>
      <c r="L188" s="6">
        <f t="shared" si="5"/>
        <v>13022.892</v>
      </c>
      <c r="M188" s="6">
        <f t="shared" si="6"/>
        <v>5059393.542</v>
      </c>
      <c r="N188" s="6">
        <f t="shared" si="7"/>
        <v>2168311.518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  <c r="J189" s="68">
        <f t="shared" si="3"/>
        <v>446.4</v>
      </c>
      <c r="K189" s="6">
        <f t="shared" si="4"/>
        <v>7344.5505</v>
      </c>
      <c r="L189" s="6">
        <f t="shared" si="5"/>
        <v>4196.886</v>
      </c>
      <c r="M189" s="6">
        <f t="shared" si="6"/>
        <v>3278607.343</v>
      </c>
      <c r="N189" s="6">
        <f t="shared" si="7"/>
        <v>1405117.433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  <c r="J190" s="68">
        <f t="shared" si="3"/>
        <v>265.2</v>
      </c>
      <c r="K190" s="6">
        <f t="shared" si="4"/>
        <v>21016.9785</v>
      </c>
      <c r="L190" s="6">
        <f t="shared" si="5"/>
        <v>12009.702</v>
      </c>
      <c r="M190" s="6">
        <f t="shared" si="6"/>
        <v>5573702.698</v>
      </c>
      <c r="N190" s="6">
        <f t="shared" si="7"/>
        <v>2388729.728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  <c r="J191" s="68">
        <f t="shared" si="3"/>
        <v>1069.2</v>
      </c>
      <c r="K191" s="6">
        <f t="shared" si="4"/>
        <v>5357.184</v>
      </c>
      <c r="L191" s="6">
        <f t="shared" si="5"/>
        <v>3061.248</v>
      </c>
      <c r="M191" s="6">
        <f t="shared" si="6"/>
        <v>5727901.133</v>
      </c>
      <c r="N191" s="6">
        <f t="shared" si="7"/>
        <v>2454814.771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  <c r="J192" s="68">
        <f t="shared" si="3"/>
        <v>492</v>
      </c>
      <c r="K192" s="6">
        <f t="shared" si="4"/>
        <v>1400.8365</v>
      </c>
      <c r="L192" s="6">
        <f t="shared" si="5"/>
        <v>800.478</v>
      </c>
      <c r="M192" s="6">
        <f t="shared" si="6"/>
        <v>689211.558</v>
      </c>
      <c r="N192" s="6">
        <f t="shared" si="7"/>
        <v>295376.382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  <c r="J193" s="68">
        <f t="shared" si="3"/>
        <v>184.8</v>
      </c>
      <c r="K193" s="6">
        <f t="shared" si="4"/>
        <v>21832.629</v>
      </c>
      <c r="L193" s="6">
        <f t="shared" si="5"/>
        <v>12475.788</v>
      </c>
      <c r="M193" s="6">
        <f t="shared" si="6"/>
        <v>4034669.839</v>
      </c>
      <c r="N193" s="6">
        <f t="shared" si="7"/>
        <v>1729144.217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  <c r="J194" s="68">
        <f t="shared" si="3"/>
        <v>1093.2</v>
      </c>
      <c r="K194" s="6">
        <f t="shared" si="4"/>
        <v>5692.5855</v>
      </c>
      <c r="L194" s="6">
        <f t="shared" si="5"/>
        <v>3252.906</v>
      </c>
      <c r="M194" s="6">
        <f t="shared" si="6"/>
        <v>6223134.469</v>
      </c>
      <c r="N194" s="6">
        <f t="shared" si="7"/>
        <v>2667057.629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  <c r="J195" s="68">
        <f t="shared" si="3"/>
        <v>206.4</v>
      </c>
      <c r="K195" s="6">
        <f t="shared" si="4"/>
        <v>21298.893</v>
      </c>
      <c r="L195" s="6">
        <f t="shared" si="5"/>
        <v>12170.796</v>
      </c>
      <c r="M195" s="6">
        <f t="shared" si="6"/>
        <v>4396091.515</v>
      </c>
      <c r="N195" s="6">
        <f t="shared" si="7"/>
        <v>1884039.221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  <c r="J196" s="68">
        <f t="shared" si="3"/>
        <v>792</v>
      </c>
      <c r="K196" s="6">
        <f t="shared" si="4"/>
        <v>5433.3405</v>
      </c>
      <c r="L196" s="6">
        <f t="shared" si="5"/>
        <v>3104.766</v>
      </c>
      <c r="M196" s="6">
        <f t="shared" si="6"/>
        <v>4303205.676</v>
      </c>
      <c r="N196" s="6">
        <f t="shared" si="7"/>
        <v>1844231.004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  <c r="J197" s="68">
        <f t="shared" si="3"/>
        <v>848.4</v>
      </c>
      <c r="K197" s="6">
        <f t="shared" si="4"/>
        <v>5945.6145</v>
      </c>
      <c r="L197" s="6">
        <f t="shared" si="5"/>
        <v>3397.494</v>
      </c>
      <c r="M197" s="6">
        <f t="shared" si="6"/>
        <v>5044259.342</v>
      </c>
      <c r="N197" s="6">
        <f t="shared" si="7"/>
        <v>2161825.432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  <c r="J198" s="68">
        <f t="shared" si="3"/>
        <v>808.8</v>
      </c>
      <c r="K198" s="6">
        <f t="shared" si="4"/>
        <v>1363.4985</v>
      </c>
      <c r="L198" s="6">
        <f t="shared" si="5"/>
        <v>779.142</v>
      </c>
      <c r="M198" s="6">
        <f t="shared" si="6"/>
        <v>1102797.587</v>
      </c>
      <c r="N198" s="6">
        <f t="shared" si="7"/>
        <v>472627.5372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  <c r="J199" s="68">
        <f t="shared" si="3"/>
        <v>1315.2</v>
      </c>
      <c r="K199" s="6">
        <f t="shared" si="4"/>
        <v>5440.1655</v>
      </c>
      <c r="L199" s="6">
        <f t="shared" si="5"/>
        <v>3108.666</v>
      </c>
      <c r="M199" s="6">
        <f t="shared" si="6"/>
        <v>7154905.666</v>
      </c>
      <c r="N199" s="6">
        <f t="shared" si="7"/>
        <v>3066388.142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  <c r="J200" s="68">
        <f t="shared" si="3"/>
        <v>1272</v>
      </c>
      <c r="K200" s="6">
        <f t="shared" si="4"/>
        <v>1344.504</v>
      </c>
      <c r="L200" s="6">
        <f t="shared" si="5"/>
        <v>768.288</v>
      </c>
      <c r="M200" s="6">
        <f t="shared" si="6"/>
        <v>1710209.088</v>
      </c>
      <c r="N200" s="6">
        <f t="shared" si="7"/>
        <v>732946.752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  <c r="J201" s="68">
        <f t="shared" si="3"/>
        <v>225.6</v>
      </c>
      <c r="K201" s="6">
        <f t="shared" si="4"/>
        <v>23356.41</v>
      </c>
      <c r="L201" s="6">
        <f t="shared" si="5"/>
        <v>13346.52</v>
      </c>
      <c r="M201" s="6">
        <f t="shared" si="6"/>
        <v>5269206.096</v>
      </c>
      <c r="N201" s="6">
        <f t="shared" si="7"/>
        <v>2258231.184</v>
      </c>
    </row>
    <row r="202" ht="15.75" customHeight="1">
      <c r="B202" s="7"/>
      <c r="J202" s="68"/>
    </row>
    <row r="203" ht="15.75" customHeight="1">
      <c r="B203" s="7"/>
      <c r="J203" s="68"/>
    </row>
    <row r="204" ht="15.75" customHeight="1">
      <c r="B204" s="7"/>
      <c r="J204" s="68"/>
    </row>
    <row r="205" ht="15.75" customHeight="1">
      <c r="B205" s="7"/>
      <c r="J205" s="68"/>
    </row>
    <row r="206" ht="15.75" customHeight="1">
      <c r="B206" s="7"/>
      <c r="J206" s="68"/>
    </row>
    <row r="207" ht="15.75" customHeight="1">
      <c r="B207" s="7"/>
      <c r="J207" s="68"/>
    </row>
    <row r="208" ht="15.75" customHeight="1">
      <c r="B208" s="7"/>
      <c r="J208" s="68"/>
    </row>
    <row r="209" ht="15.75" customHeight="1">
      <c r="B209" s="7"/>
      <c r="J209" s="68"/>
    </row>
    <row r="210" ht="15.75" customHeight="1">
      <c r="B210" s="7"/>
      <c r="J210" s="68"/>
    </row>
    <row r="211" ht="15.75" customHeight="1">
      <c r="B211" s="7"/>
      <c r="J211" s="68"/>
    </row>
    <row r="212" ht="15.75" customHeight="1">
      <c r="B212" s="7"/>
      <c r="J212" s="68"/>
    </row>
    <row r="213" ht="15.75" customHeight="1">
      <c r="B213" s="7"/>
      <c r="J213" s="68"/>
    </row>
    <row r="214" ht="15.75" customHeight="1">
      <c r="B214" s="7"/>
      <c r="J214" s="68"/>
    </row>
    <row r="215" ht="15.75" customHeight="1">
      <c r="B215" s="7"/>
      <c r="J215" s="68"/>
    </row>
    <row r="216" ht="15.75" customHeight="1">
      <c r="B216" s="7"/>
      <c r="J216" s="68"/>
    </row>
    <row r="217" ht="15.75" customHeight="1">
      <c r="B217" s="7"/>
      <c r="J217" s="68"/>
    </row>
    <row r="218" ht="15.75" customHeight="1">
      <c r="B218" s="7"/>
      <c r="J218" s="68"/>
    </row>
    <row r="219" ht="15.75" customHeight="1">
      <c r="B219" s="7"/>
      <c r="J219" s="68"/>
    </row>
    <row r="220" ht="15.75" customHeight="1">
      <c r="B220" s="7"/>
      <c r="J220" s="68"/>
    </row>
    <row r="221" ht="15.75" customHeight="1">
      <c r="B221" s="7"/>
      <c r="J221" s="68"/>
    </row>
    <row r="222" ht="15.75" customHeight="1">
      <c r="B222" s="7"/>
      <c r="J222" s="68"/>
    </row>
    <row r="223" ht="15.75" customHeight="1">
      <c r="B223" s="7"/>
      <c r="J223" s="68"/>
    </row>
    <row r="224" ht="15.75" customHeight="1">
      <c r="B224" s="7"/>
      <c r="J224" s="68"/>
    </row>
    <row r="225" ht="15.75" customHeight="1">
      <c r="B225" s="7"/>
      <c r="J225" s="68"/>
    </row>
    <row r="226" ht="15.75" customHeight="1">
      <c r="B226" s="7"/>
      <c r="J226" s="68"/>
    </row>
    <row r="227" ht="15.75" customHeight="1">
      <c r="B227" s="7"/>
      <c r="J227" s="68"/>
    </row>
    <row r="228" ht="15.75" customHeight="1">
      <c r="B228" s="7"/>
      <c r="J228" s="68"/>
    </row>
    <row r="229" ht="15.75" customHeight="1">
      <c r="B229" s="7"/>
      <c r="J229" s="68"/>
    </row>
    <row r="230" ht="15.75" customHeight="1">
      <c r="B230" s="7"/>
      <c r="J230" s="68"/>
    </row>
    <row r="231" ht="15.75" customHeight="1">
      <c r="B231" s="7"/>
      <c r="J231" s="68"/>
    </row>
    <row r="232" ht="15.75" customHeight="1">
      <c r="B232" s="7"/>
      <c r="J232" s="68"/>
    </row>
    <row r="233" ht="15.75" customHeight="1">
      <c r="B233" s="7"/>
      <c r="J233" s="68"/>
    </row>
    <row r="234" ht="15.75" customHeight="1">
      <c r="B234" s="7"/>
      <c r="J234" s="68"/>
    </row>
    <row r="235" ht="15.75" customHeight="1">
      <c r="B235" s="7"/>
      <c r="J235" s="68"/>
    </row>
    <row r="236" ht="15.75" customHeight="1">
      <c r="B236" s="7"/>
      <c r="J236" s="68"/>
    </row>
    <row r="237" ht="15.75" customHeight="1">
      <c r="B237" s="7"/>
      <c r="J237" s="68"/>
    </row>
    <row r="238" ht="15.75" customHeight="1">
      <c r="B238" s="7"/>
      <c r="J238" s="68"/>
    </row>
    <row r="239" ht="15.75" customHeight="1">
      <c r="B239" s="7"/>
      <c r="J239" s="68"/>
    </row>
    <row r="240" ht="15.75" customHeight="1">
      <c r="B240" s="7"/>
      <c r="J240" s="68"/>
    </row>
    <row r="241" ht="15.75" customHeight="1">
      <c r="B241" s="7"/>
      <c r="J241" s="68"/>
    </row>
    <row r="242" ht="15.75" customHeight="1">
      <c r="B242" s="7"/>
      <c r="J242" s="68"/>
    </row>
    <row r="243" ht="15.75" customHeight="1">
      <c r="B243" s="7"/>
      <c r="J243" s="68"/>
    </row>
    <row r="244" ht="15.75" customHeight="1">
      <c r="B244" s="7"/>
      <c r="J244" s="68"/>
    </row>
    <row r="245" ht="15.75" customHeight="1">
      <c r="B245" s="7"/>
      <c r="J245" s="68"/>
    </row>
    <row r="246" ht="15.75" customHeight="1">
      <c r="B246" s="7"/>
      <c r="J246" s="68"/>
    </row>
    <row r="247" ht="15.75" customHeight="1">
      <c r="B247" s="7"/>
      <c r="J247" s="68"/>
    </row>
    <row r="248" ht="15.75" customHeight="1">
      <c r="B248" s="7"/>
      <c r="J248" s="68"/>
    </row>
    <row r="249" ht="15.75" customHeight="1">
      <c r="B249" s="7"/>
      <c r="J249" s="68"/>
    </row>
    <row r="250" ht="15.75" customHeight="1">
      <c r="B250" s="7"/>
      <c r="J250" s="68"/>
    </row>
    <row r="251" ht="15.75" customHeight="1">
      <c r="B251" s="7"/>
      <c r="J251" s="68"/>
    </row>
    <row r="252" ht="15.75" customHeight="1">
      <c r="B252" s="7"/>
      <c r="J252" s="68"/>
    </row>
    <row r="253" ht="15.75" customHeight="1">
      <c r="B253" s="7"/>
      <c r="J253" s="68"/>
    </row>
    <row r="254" ht="15.75" customHeight="1">
      <c r="B254" s="7"/>
      <c r="J254" s="68"/>
    </row>
    <row r="255" ht="15.75" customHeight="1">
      <c r="B255" s="7"/>
      <c r="J255" s="68"/>
    </row>
    <row r="256" ht="15.75" customHeight="1">
      <c r="B256" s="7"/>
      <c r="J256" s="68"/>
    </row>
    <row r="257" ht="15.75" customHeight="1">
      <c r="B257" s="7"/>
      <c r="J257" s="68"/>
    </row>
    <row r="258" ht="15.75" customHeight="1">
      <c r="B258" s="7"/>
      <c r="J258" s="68"/>
    </row>
    <row r="259" ht="15.75" customHeight="1">
      <c r="B259" s="7"/>
      <c r="J259" s="68"/>
    </row>
    <row r="260" ht="15.75" customHeight="1">
      <c r="B260" s="7"/>
      <c r="J260" s="68"/>
    </row>
    <row r="261" ht="15.75" customHeight="1">
      <c r="B261" s="7"/>
      <c r="J261" s="68"/>
    </row>
    <row r="262" ht="15.75" customHeight="1">
      <c r="B262" s="7"/>
      <c r="J262" s="68"/>
    </row>
    <row r="263" ht="15.75" customHeight="1">
      <c r="B263" s="7"/>
      <c r="J263" s="68"/>
    </row>
    <row r="264" ht="15.75" customHeight="1">
      <c r="B264" s="7"/>
      <c r="J264" s="68"/>
    </row>
    <row r="265" ht="15.75" customHeight="1">
      <c r="B265" s="7"/>
      <c r="J265" s="68"/>
    </row>
    <row r="266" ht="15.75" customHeight="1">
      <c r="B266" s="7"/>
      <c r="J266" s="68"/>
    </row>
    <row r="267" ht="15.75" customHeight="1">
      <c r="B267" s="7"/>
      <c r="J267" s="68"/>
    </row>
    <row r="268" ht="15.75" customHeight="1">
      <c r="B268" s="7"/>
      <c r="J268" s="68"/>
    </row>
    <row r="269" ht="15.75" customHeight="1">
      <c r="B269" s="7"/>
      <c r="J269" s="68"/>
    </row>
    <row r="270" ht="15.75" customHeight="1">
      <c r="B270" s="7"/>
      <c r="J270" s="68"/>
    </row>
    <row r="271" ht="15.75" customHeight="1">
      <c r="B271" s="7"/>
      <c r="J271" s="68"/>
    </row>
    <row r="272" ht="15.75" customHeight="1">
      <c r="B272" s="7"/>
      <c r="J272" s="68"/>
    </row>
    <row r="273" ht="15.75" customHeight="1">
      <c r="B273" s="7"/>
      <c r="J273" s="68"/>
    </row>
    <row r="274" ht="15.75" customHeight="1">
      <c r="B274" s="7"/>
      <c r="J274" s="68"/>
    </row>
    <row r="275" ht="15.75" customHeight="1">
      <c r="B275" s="7"/>
      <c r="J275" s="68"/>
    </row>
    <row r="276" ht="15.75" customHeight="1">
      <c r="B276" s="7"/>
      <c r="J276" s="68"/>
    </row>
    <row r="277" ht="15.75" customHeight="1">
      <c r="B277" s="7"/>
      <c r="J277" s="68"/>
    </row>
    <row r="278" ht="15.75" customHeight="1">
      <c r="B278" s="7"/>
      <c r="J278" s="68"/>
    </row>
    <row r="279" ht="15.75" customHeight="1">
      <c r="B279" s="7"/>
      <c r="J279" s="68"/>
    </row>
    <row r="280" ht="15.75" customHeight="1">
      <c r="B280" s="7"/>
      <c r="J280" s="68"/>
    </row>
    <row r="281" ht="15.75" customHeight="1">
      <c r="B281" s="7"/>
      <c r="J281" s="68"/>
    </row>
    <row r="282" ht="15.75" customHeight="1">
      <c r="B282" s="7"/>
      <c r="J282" s="68"/>
    </row>
    <row r="283" ht="15.75" customHeight="1">
      <c r="B283" s="7"/>
      <c r="J283" s="68"/>
    </row>
    <row r="284" ht="15.75" customHeight="1">
      <c r="B284" s="7"/>
      <c r="J284" s="68"/>
    </row>
    <row r="285" ht="15.75" customHeight="1">
      <c r="B285" s="7"/>
      <c r="J285" s="68"/>
    </row>
    <row r="286" ht="15.75" customHeight="1">
      <c r="B286" s="7"/>
      <c r="J286" s="68"/>
    </row>
    <row r="287" ht="15.75" customHeight="1">
      <c r="B287" s="7"/>
      <c r="J287" s="68"/>
    </row>
    <row r="288" ht="15.75" customHeight="1">
      <c r="B288" s="7"/>
      <c r="J288" s="68"/>
    </row>
    <row r="289" ht="15.75" customHeight="1">
      <c r="B289" s="7"/>
      <c r="J289" s="68"/>
    </row>
    <row r="290" ht="15.75" customHeight="1">
      <c r="B290" s="7"/>
      <c r="J290" s="68"/>
    </row>
    <row r="291" ht="15.75" customHeight="1">
      <c r="B291" s="7"/>
      <c r="J291" s="68"/>
    </row>
    <row r="292" ht="15.75" customHeight="1">
      <c r="B292" s="7"/>
      <c r="J292" s="68"/>
    </row>
    <row r="293" ht="15.75" customHeight="1">
      <c r="B293" s="7"/>
      <c r="J293" s="68"/>
    </row>
    <row r="294" ht="15.75" customHeight="1">
      <c r="B294" s="7"/>
      <c r="J294" s="68"/>
    </row>
    <row r="295" ht="15.75" customHeight="1">
      <c r="B295" s="7"/>
      <c r="J295" s="68"/>
    </row>
    <row r="296" ht="15.75" customHeight="1">
      <c r="B296" s="7"/>
      <c r="J296" s="68"/>
    </row>
    <row r="297" ht="15.75" customHeight="1">
      <c r="B297" s="7"/>
      <c r="J297" s="68"/>
    </row>
    <row r="298" ht="15.75" customHeight="1">
      <c r="B298" s="7"/>
      <c r="J298" s="68"/>
    </row>
    <row r="299" ht="15.75" customHeight="1">
      <c r="B299" s="7"/>
      <c r="J299" s="68"/>
    </row>
    <row r="300" ht="15.75" customHeight="1">
      <c r="B300" s="7"/>
      <c r="J300" s="68"/>
    </row>
    <row r="301" ht="15.75" customHeight="1">
      <c r="B301" s="7"/>
      <c r="J301" s="68"/>
    </row>
    <row r="302" ht="15.75" customHeight="1">
      <c r="B302" s="7"/>
      <c r="J302" s="68"/>
    </row>
    <row r="303" ht="15.75" customHeight="1">
      <c r="B303" s="7"/>
      <c r="J303" s="68"/>
    </row>
    <row r="304" ht="15.75" customHeight="1">
      <c r="B304" s="7"/>
      <c r="J304" s="68"/>
    </row>
    <row r="305" ht="15.75" customHeight="1">
      <c r="B305" s="7"/>
      <c r="J305" s="68"/>
    </row>
    <row r="306" ht="15.75" customHeight="1">
      <c r="B306" s="7"/>
      <c r="J306" s="68"/>
    </row>
    <row r="307" ht="15.75" customHeight="1">
      <c r="B307" s="7"/>
      <c r="J307" s="68"/>
    </row>
    <row r="308" ht="15.75" customHeight="1">
      <c r="B308" s="7"/>
      <c r="J308" s="68"/>
    </row>
    <row r="309" ht="15.75" customHeight="1">
      <c r="B309" s="7"/>
      <c r="J309" s="68"/>
    </row>
    <row r="310" ht="15.75" customHeight="1">
      <c r="B310" s="7"/>
      <c r="J310" s="68"/>
    </row>
    <row r="311" ht="15.75" customHeight="1">
      <c r="B311" s="7"/>
      <c r="J311" s="68"/>
    </row>
    <row r="312" ht="15.75" customHeight="1">
      <c r="B312" s="7"/>
      <c r="J312" s="68"/>
    </row>
    <row r="313" ht="15.75" customHeight="1">
      <c r="B313" s="7"/>
      <c r="J313" s="68"/>
    </row>
    <row r="314" ht="15.75" customHeight="1">
      <c r="B314" s="7"/>
      <c r="J314" s="68"/>
    </row>
    <row r="315" ht="15.75" customHeight="1">
      <c r="B315" s="7"/>
      <c r="J315" s="68"/>
    </row>
    <row r="316" ht="15.75" customHeight="1">
      <c r="B316" s="7"/>
      <c r="J316" s="68"/>
    </row>
    <row r="317" ht="15.75" customHeight="1">
      <c r="B317" s="7"/>
      <c r="J317" s="68"/>
    </row>
    <row r="318" ht="15.75" customHeight="1">
      <c r="B318" s="7"/>
      <c r="J318" s="68"/>
    </row>
    <row r="319" ht="15.75" customHeight="1">
      <c r="B319" s="7"/>
      <c r="J319" s="68"/>
    </row>
    <row r="320" ht="15.75" customHeight="1">
      <c r="B320" s="7"/>
      <c r="J320" s="68"/>
    </row>
    <row r="321" ht="15.75" customHeight="1">
      <c r="B321" s="7"/>
      <c r="J321" s="68"/>
    </row>
    <row r="322" ht="15.75" customHeight="1">
      <c r="B322" s="7"/>
      <c r="J322" s="68"/>
    </row>
    <row r="323" ht="15.75" customHeight="1">
      <c r="B323" s="7"/>
      <c r="J323" s="68"/>
    </row>
    <row r="324" ht="15.75" customHeight="1">
      <c r="B324" s="7"/>
      <c r="J324" s="68"/>
    </row>
    <row r="325" ht="15.75" customHeight="1">
      <c r="B325" s="7"/>
      <c r="J325" s="68"/>
    </row>
    <row r="326" ht="15.75" customHeight="1">
      <c r="B326" s="7"/>
      <c r="J326" s="68"/>
    </row>
    <row r="327" ht="15.75" customHeight="1">
      <c r="B327" s="7"/>
      <c r="J327" s="68"/>
    </row>
    <row r="328" ht="15.75" customHeight="1">
      <c r="B328" s="7"/>
      <c r="J328" s="68"/>
    </row>
    <row r="329" ht="15.75" customHeight="1">
      <c r="B329" s="7"/>
      <c r="J329" s="68"/>
    </row>
    <row r="330" ht="15.75" customHeight="1">
      <c r="B330" s="7"/>
      <c r="J330" s="68"/>
    </row>
    <row r="331" ht="15.75" customHeight="1">
      <c r="B331" s="7"/>
      <c r="J331" s="68"/>
    </row>
    <row r="332" ht="15.75" customHeight="1">
      <c r="B332" s="7"/>
      <c r="J332" s="68"/>
    </row>
    <row r="333" ht="15.75" customHeight="1">
      <c r="B333" s="7"/>
      <c r="J333" s="68"/>
    </row>
    <row r="334" ht="15.75" customHeight="1">
      <c r="B334" s="7"/>
      <c r="J334" s="68"/>
    </row>
    <row r="335" ht="15.75" customHeight="1">
      <c r="B335" s="7"/>
      <c r="J335" s="68"/>
    </row>
    <row r="336" ht="15.75" customHeight="1">
      <c r="B336" s="7"/>
      <c r="J336" s="68"/>
    </row>
    <row r="337" ht="15.75" customHeight="1">
      <c r="B337" s="7"/>
      <c r="J337" s="68"/>
    </row>
    <row r="338" ht="15.75" customHeight="1">
      <c r="B338" s="7"/>
      <c r="J338" s="68"/>
    </row>
    <row r="339" ht="15.75" customHeight="1">
      <c r="B339" s="7"/>
      <c r="J339" s="68"/>
    </row>
    <row r="340" ht="15.75" customHeight="1">
      <c r="B340" s="7"/>
      <c r="J340" s="68"/>
    </row>
    <row r="341" ht="15.75" customHeight="1">
      <c r="B341" s="7"/>
      <c r="J341" s="68"/>
    </row>
    <row r="342" ht="15.75" customHeight="1">
      <c r="B342" s="7"/>
      <c r="J342" s="68"/>
    </row>
    <row r="343" ht="15.75" customHeight="1">
      <c r="B343" s="7"/>
      <c r="J343" s="68"/>
    </row>
    <row r="344" ht="15.75" customHeight="1">
      <c r="B344" s="7"/>
      <c r="J344" s="68"/>
    </row>
    <row r="345" ht="15.75" customHeight="1">
      <c r="B345" s="7"/>
      <c r="J345" s="68"/>
    </row>
    <row r="346" ht="15.75" customHeight="1">
      <c r="B346" s="7"/>
      <c r="J346" s="68"/>
    </row>
    <row r="347" ht="15.75" customHeight="1">
      <c r="B347" s="7"/>
      <c r="J347" s="68"/>
    </row>
    <row r="348" ht="15.75" customHeight="1">
      <c r="B348" s="7"/>
      <c r="J348" s="68"/>
    </row>
    <row r="349" ht="15.75" customHeight="1">
      <c r="B349" s="7"/>
      <c r="J349" s="68"/>
    </row>
    <row r="350" ht="15.75" customHeight="1">
      <c r="B350" s="7"/>
      <c r="J350" s="68"/>
    </row>
    <row r="351" ht="15.75" customHeight="1">
      <c r="B351" s="7"/>
      <c r="J351" s="68"/>
    </row>
    <row r="352" ht="15.75" customHeight="1">
      <c r="B352" s="7"/>
      <c r="J352" s="68"/>
    </row>
    <row r="353" ht="15.75" customHeight="1">
      <c r="B353" s="7"/>
      <c r="J353" s="68"/>
    </row>
    <row r="354" ht="15.75" customHeight="1">
      <c r="B354" s="7"/>
      <c r="J354" s="68"/>
    </row>
    <row r="355" ht="15.75" customHeight="1">
      <c r="B355" s="7"/>
      <c r="J355" s="68"/>
    </row>
    <row r="356" ht="15.75" customHeight="1">
      <c r="B356" s="7"/>
      <c r="J356" s="68"/>
    </row>
    <row r="357" ht="15.75" customHeight="1">
      <c r="B357" s="7"/>
      <c r="J357" s="68"/>
    </row>
    <row r="358" ht="15.75" customHeight="1">
      <c r="B358" s="7"/>
      <c r="J358" s="68"/>
    </row>
    <row r="359" ht="15.75" customHeight="1">
      <c r="B359" s="7"/>
      <c r="J359" s="68"/>
    </row>
    <row r="360" ht="15.75" customHeight="1">
      <c r="B360" s="7"/>
      <c r="J360" s="68"/>
    </row>
    <row r="361" ht="15.75" customHeight="1">
      <c r="B361" s="7"/>
      <c r="J361" s="68"/>
    </row>
    <row r="362" ht="15.75" customHeight="1">
      <c r="B362" s="7"/>
      <c r="J362" s="68"/>
    </row>
    <row r="363" ht="15.75" customHeight="1">
      <c r="B363" s="7"/>
      <c r="J363" s="68"/>
    </row>
    <row r="364" ht="15.75" customHeight="1">
      <c r="B364" s="7"/>
      <c r="J364" s="68"/>
    </row>
    <row r="365" ht="15.75" customHeight="1">
      <c r="B365" s="7"/>
      <c r="J365" s="68"/>
    </row>
    <row r="366" ht="15.75" customHeight="1">
      <c r="B366" s="7"/>
      <c r="J366" s="68"/>
    </row>
    <row r="367" ht="15.75" customHeight="1">
      <c r="B367" s="7"/>
      <c r="J367" s="68"/>
    </row>
    <row r="368" ht="15.75" customHeight="1">
      <c r="B368" s="7"/>
      <c r="J368" s="68"/>
    </row>
    <row r="369" ht="15.75" customHeight="1">
      <c r="B369" s="7"/>
      <c r="J369" s="68"/>
    </row>
    <row r="370" ht="15.75" customHeight="1">
      <c r="B370" s="7"/>
      <c r="J370" s="68"/>
    </row>
    <row r="371" ht="15.75" customHeight="1">
      <c r="B371" s="7"/>
      <c r="J371" s="68"/>
    </row>
    <row r="372" ht="15.75" customHeight="1">
      <c r="B372" s="7"/>
      <c r="J372" s="68"/>
    </row>
    <row r="373" ht="15.75" customHeight="1">
      <c r="B373" s="7"/>
      <c r="J373" s="68"/>
    </row>
    <row r="374" ht="15.75" customHeight="1">
      <c r="B374" s="7"/>
      <c r="J374" s="68"/>
    </row>
    <row r="375" ht="15.75" customHeight="1">
      <c r="B375" s="7"/>
      <c r="J375" s="68"/>
    </row>
    <row r="376" ht="15.75" customHeight="1">
      <c r="B376" s="7"/>
      <c r="J376" s="68"/>
    </row>
    <row r="377" ht="15.75" customHeight="1">
      <c r="B377" s="7"/>
      <c r="J377" s="68"/>
    </row>
    <row r="378" ht="15.75" customHeight="1">
      <c r="B378" s="7"/>
      <c r="J378" s="68"/>
    </row>
    <row r="379" ht="15.75" customHeight="1">
      <c r="B379" s="7"/>
      <c r="J379" s="68"/>
    </row>
    <row r="380" ht="15.75" customHeight="1">
      <c r="B380" s="7"/>
      <c r="J380" s="68"/>
    </row>
    <row r="381" ht="15.75" customHeight="1">
      <c r="B381" s="7"/>
      <c r="J381" s="68"/>
    </row>
    <row r="382" ht="15.75" customHeight="1">
      <c r="B382" s="7"/>
      <c r="J382" s="68"/>
    </row>
    <row r="383" ht="15.75" customHeight="1">
      <c r="B383" s="7"/>
      <c r="J383" s="68"/>
    </row>
    <row r="384" ht="15.75" customHeight="1">
      <c r="B384" s="7"/>
      <c r="J384" s="68"/>
    </row>
    <row r="385" ht="15.75" customHeight="1">
      <c r="B385" s="7"/>
      <c r="J385" s="68"/>
    </row>
    <row r="386" ht="15.75" customHeight="1">
      <c r="B386" s="7"/>
      <c r="J386" s="68"/>
    </row>
    <row r="387" ht="15.75" customHeight="1">
      <c r="B387" s="7"/>
      <c r="J387" s="68"/>
    </row>
    <row r="388" ht="15.75" customHeight="1">
      <c r="B388" s="7"/>
      <c r="J388" s="68"/>
    </row>
    <row r="389" ht="15.75" customHeight="1">
      <c r="B389" s="7"/>
      <c r="J389" s="68"/>
    </row>
    <row r="390" ht="15.75" customHeight="1">
      <c r="B390" s="7"/>
      <c r="J390" s="68"/>
    </row>
    <row r="391" ht="15.75" customHeight="1">
      <c r="B391" s="7"/>
      <c r="J391" s="68"/>
    </row>
    <row r="392" ht="15.75" customHeight="1">
      <c r="B392" s="7"/>
      <c r="J392" s="68"/>
    </row>
    <row r="393" ht="15.75" customHeight="1">
      <c r="B393" s="7"/>
      <c r="J393" s="68"/>
    </row>
    <row r="394" ht="15.75" customHeight="1">
      <c r="B394" s="7"/>
      <c r="J394" s="68"/>
    </row>
    <row r="395" ht="15.75" customHeight="1">
      <c r="B395" s="7"/>
      <c r="J395" s="68"/>
    </row>
    <row r="396" ht="15.75" customHeight="1">
      <c r="B396" s="7"/>
      <c r="J396" s="68"/>
    </row>
    <row r="397" ht="15.75" customHeight="1">
      <c r="B397" s="7"/>
      <c r="J397" s="68"/>
    </row>
    <row r="398" ht="15.75" customHeight="1">
      <c r="B398" s="7"/>
      <c r="J398" s="68"/>
    </row>
    <row r="399" ht="15.75" customHeight="1">
      <c r="B399" s="7"/>
      <c r="J399" s="68"/>
    </row>
    <row r="400" ht="15.75" customHeight="1">
      <c r="B400" s="7"/>
      <c r="J400" s="68"/>
    </row>
    <row r="401" ht="15.75" customHeight="1">
      <c r="B401" s="7"/>
      <c r="J401" s="68"/>
    </row>
    <row r="402" ht="15.75" customHeight="1">
      <c r="B402" s="7"/>
      <c r="J402" s="68"/>
    </row>
    <row r="403" ht="15.75" customHeight="1">
      <c r="B403" s="7"/>
      <c r="J403" s="68"/>
    </row>
    <row r="404" ht="15.75" customHeight="1">
      <c r="B404" s="7"/>
      <c r="J404" s="68"/>
    </row>
    <row r="405" ht="15.75" customHeight="1">
      <c r="B405" s="7"/>
      <c r="J405" s="68"/>
    </row>
    <row r="406" ht="15.75" customHeight="1">
      <c r="B406" s="7"/>
      <c r="J406" s="68"/>
    </row>
    <row r="407" ht="15.75" customHeight="1">
      <c r="B407" s="7"/>
      <c r="J407" s="68"/>
    </row>
    <row r="408" ht="15.75" customHeight="1">
      <c r="B408" s="7"/>
      <c r="J408" s="68"/>
    </row>
    <row r="409" ht="15.75" customHeight="1">
      <c r="B409" s="7"/>
      <c r="J409" s="68"/>
    </row>
    <row r="410" ht="15.75" customHeight="1">
      <c r="B410" s="7"/>
      <c r="J410" s="68"/>
    </row>
    <row r="411" ht="15.75" customHeight="1">
      <c r="B411" s="7"/>
      <c r="J411" s="68"/>
    </row>
    <row r="412" ht="15.75" customHeight="1">
      <c r="B412" s="7"/>
      <c r="J412" s="68"/>
    </row>
    <row r="413" ht="15.75" customHeight="1">
      <c r="B413" s="7"/>
      <c r="J413" s="68"/>
    </row>
    <row r="414" ht="15.75" customHeight="1">
      <c r="B414" s="7"/>
      <c r="J414" s="68"/>
    </row>
    <row r="415" ht="15.75" customHeight="1">
      <c r="B415" s="7"/>
      <c r="J415" s="68"/>
    </row>
    <row r="416" ht="15.75" customHeight="1">
      <c r="B416" s="7"/>
      <c r="J416" s="68"/>
    </row>
    <row r="417" ht="15.75" customHeight="1">
      <c r="B417" s="7"/>
      <c r="J417" s="68"/>
    </row>
    <row r="418" ht="15.75" customHeight="1">
      <c r="B418" s="7"/>
      <c r="J418" s="68"/>
    </row>
    <row r="419" ht="15.75" customHeight="1">
      <c r="B419" s="7"/>
      <c r="J419" s="68"/>
    </row>
    <row r="420" ht="15.75" customHeight="1">
      <c r="B420" s="7"/>
      <c r="J420" s="68"/>
    </row>
    <row r="421" ht="15.75" customHeight="1">
      <c r="B421" s="7"/>
      <c r="J421" s="68"/>
    </row>
    <row r="422" ht="15.75" customHeight="1">
      <c r="B422" s="7"/>
      <c r="J422" s="68"/>
    </row>
    <row r="423" ht="15.75" customHeight="1">
      <c r="B423" s="7"/>
      <c r="J423" s="68"/>
    </row>
    <row r="424" ht="15.75" customHeight="1">
      <c r="B424" s="7"/>
      <c r="J424" s="68"/>
    </row>
    <row r="425" ht="15.75" customHeight="1">
      <c r="B425" s="7"/>
      <c r="J425" s="68"/>
    </row>
    <row r="426" ht="15.75" customHeight="1">
      <c r="B426" s="7"/>
      <c r="J426" s="68"/>
    </row>
    <row r="427" ht="15.75" customHeight="1">
      <c r="B427" s="7"/>
      <c r="J427" s="68"/>
    </row>
    <row r="428" ht="15.75" customHeight="1">
      <c r="B428" s="7"/>
      <c r="J428" s="68"/>
    </row>
    <row r="429" ht="15.75" customHeight="1">
      <c r="B429" s="7"/>
      <c r="J429" s="68"/>
    </row>
    <row r="430" ht="15.75" customHeight="1">
      <c r="B430" s="7"/>
      <c r="J430" s="68"/>
    </row>
    <row r="431" ht="15.75" customHeight="1">
      <c r="B431" s="7"/>
      <c r="J431" s="68"/>
    </row>
    <row r="432" ht="15.75" customHeight="1">
      <c r="B432" s="7"/>
      <c r="J432" s="68"/>
    </row>
    <row r="433" ht="15.75" customHeight="1">
      <c r="B433" s="7"/>
      <c r="J433" s="68"/>
    </row>
    <row r="434" ht="15.75" customHeight="1">
      <c r="B434" s="7"/>
      <c r="J434" s="68"/>
    </row>
    <row r="435" ht="15.75" customHeight="1">
      <c r="B435" s="7"/>
      <c r="J435" s="68"/>
    </row>
    <row r="436" ht="15.75" customHeight="1">
      <c r="B436" s="7"/>
      <c r="J436" s="68"/>
    </row>
    <row r="437" ht="15.75" customHeight="1">
      <c r="B437" s="7"/>
      <c r="J437" s="68"/>
    </row>
    <row r="438" ht="15.75" customHeight="1">
      <c r="B438" s="7"/>
      <c r="J438" s="68"/>
    </row>
    <row r="439" ht="15.75" customHeight="1">
      <c r="B439" s="7"/>
      <c r="J439" s="68"/>
    </row>
    <row r="440" ht="15.75" customHeight="1">
      <c r="B440" s="7"/>
      <c r="J440" s="68"/>
    </row>
    <row r="441" ht="15.75" customHeight="1">
      <c r="B441" s="7"/>
      <c r="J441" s="68"/>
    </row>
    <row r="442" ht="15.75" customHeight="1">
      <c r="B442" s="7"/>
      <c r="J442" s="68"/>
    </row>
    <row r="443" ht="15.75" customHeight="1">
      <c r="B443" s="7"/>
      <c r="J443" s="68"/>
    </row>
    <row r="444" ht="15.75" customHeight="1">
      <c r="B444" s="7"/>
      <c r="J444" s="68"/>
    </row>
    <row r="445" ht="15.75" customHeight="1">
      <c r="B445" s="7"/>
      <c r="J445" s="68"/>
    </row>
    <row r="446" ht="15.75" customHeight="1">
      <c r="B446" s="7"/>
      <c r="J446" s="68"/>
    </row>
    <row r="447" ht="15.75" customHeight="1">
      <c r="B447" s="7"/>
      <c r="J447" s="68"/>
    </row>
    <row r="448" ht="15.75" customHeight="1">
      <c r="B448" s="7"/>
      <c r="J448" s="68"/>
    </row>
    <row r="449" ht="15.75" customHeight="1">
      <c r="B449" s="7"/>
      <c r="J449" s="68"/>
    </row>
    <row r="450" ht="15.75" customHeight="1">
      <c r="B450" s="7"/>
      <c r="J450" s="68"/>
    </row>
    <row r="451" ht="15.75" customHeight="1">
      <c r="B451" s="7"/>
      <c r="J451" s="68"/>
    </row>
    <row r="452" ht="15.75" customHeight="1">
      <c r="B452" s="7"/>
      <c r="J452" s="68"/>
    </row>
    <row r="453" ht="15.75" customHeight="1">
      <c r="B453" s="7"/>
      <c r="J453" s="68"/>
    </row>
    <row r="454" ht="15.75" customHeight="1">
      <c r="B454" s="7"/>
      <c r="J454" s="68"/>
    </row>
    <row r="455" ht="15.75" customHeight="1">
      <c r="B455" s="7"/>
      <c r="J455" s="68"/>
    </row>
    <row r="456" ht="15.75" customHeight="1">
      <c r="B456" s="7"/>
      <c r="J456" s="68"/>
    </row>
    <row r="457" ht="15.75" customHeight="1">
      <c r="B457" s="7"/>
      <c r="J457" s="68"/>
    </row>
    <row r="458" ht="15.75" customHeight="1">
      <c r="B458" s="7"/>
      <c r="J458" s="68"/>
    </row>
    <row r="459" ht="15.75" customHeight="1">
      <c r="B459" s="7"/>
      <c r="J459" s="68"/>
    </row>
    <row r="460" ht="15.75" customHeight="1">
      <c r="B460" s="7"/>
      <c r="J460" s="68"/>
    </row>
    <row r="461" ht="15.75" customHeight="1">
      <c r="B461" s="7"/>
      <c r="J461" s="68"/>
    </row>
    <row r="462" ht="15.75" customHeight="1">
      <c r="B462" s="7"/>
      <c r="J462" s="68"/>
    </row>
    <row r="463" ht="15.75" customHeight="1">
      <c r="B463" s="7"/>
      <c r="J463" s="68"/>
    </row>
    <row r="464" ht="15.75" customHeight="1">
      <c r="B464" s="7"/>
      <c r="J464" s="68"/>
    </row>
    <row r="465" ht="15.75" customHeight="1">
      <c r="B465" s="7"/>
      <c r="J465" s="68"/>
    </row>
    <row r="466" ht="15.75" customHeight="1">
      <c r="B466" s="7"/>
      <c r="J466" s="68"/>
    </row>
    <row r="467" ht="15.75" customHeight="1">
      <c r="B467" s="7"/>
      <c r="J467" s="68"/>
    </row>
    <row r="468" ht="15.75" customHeight="1">
      <c r="B468" s="7"/>
      <c r="J468" s="68"/>
    </row>
    <row r="469" ht="15.75" customHeight="1">
      <c r="B469" s="7"/>
      <c r="J469" s="68"/>
    </row>
    <row r="470" ht="15.75" customHeight="1">
      <c r="B470" s="7"/>
      <c r="J470" s="68"/>
    </row>
    <row r="471" ht="15.75" customHeight="1">
      <c r="B471" s="7"/>
      <c r="J471" s="68"/>
    </row>
    <row r="472" ht="15.75" customHeight="1">
      <c r="B472" s="7"/>
      <c r="J472" s="68"/>
    </row>
    <row r="473" ht="15.75" customHeight="1">
      <c r="B473" s="7"/>
      <c r="J473" s="68"/>
    </row>
    <row r="474" ht="15.75" customHeight="1">
      <c r="B474" s="7"/>
      <c r="J474" s="68"/>
    </row>
    <row r="475" ht="15.75" customHeight="1">
      <c r="B475" s="7"/>
      <c r="J475" s="68"/>
    </row>
    <row r="476" ht="15.75" customHeight="1">
      <c r="B476" s="7"/>
      <c r="J476" s="68"/>
    </row>
    <row r="477" ht="15.75" customHeight="1">
      <c r="B477" s="7"/>
      <c r="J477" s="68"/>
    </row>
    <row r="478" ht="15.75" customHeight="1">
      <c r="B478" s="7"/>
      <c r="J478" s="68"/>
    </row>
    <row r="479" ht="15.75" customHeight="1">
      <c r="B479" s="7"/>
      <c r="J479" s="68"/>
    </row>
    <row r="480" ht="15.75" customHeight="1">
      <c r="B480" s="7"/>
      <c r="J480" s="68"/>
    </row>
    <row r="481" ht="15.75" customHeight="1">
      <c r="B481" s="7"/>
      <c r="J481" s="68"/>
    </row>
    <row r="482" ht="15.75" customHeight="1">
      <c r="B482" s="7"/>
      <c r="J482" s="68"/>
    </row>
    <row r="483" ht="15.75" customHeight="1">
      <c r="B483" s="7"/>
      <c r="J483" s="68"/>
    </row>
    <row r="484" ht="15.75" customHeight="1">
      <c r="B484" s="7"/>
      <c r="J484" s="68"/>
    </row>
    <row r="485" ht="15.75" customHeight="1">
      <c r="B485" s="7"/>
      <c r="J485" s="68"/>
    </row>
    <row r="486" ht="15.75" customHeight="1">
      <c r="B486" s="7"/>
      <c r="J486" s="68"/>
    </row>
    <row r="487" ht="15.75" customHeight="1">
      <c r="B487" s="7"/>
      <c r="J487" s="68"/>
    </row>
    <row r="488" ht="15.75" customHeight="1">
      <c r="B488" s="7"/>
      <c r="J488" s="68"/>
    </row>
    <row r="489" ht="15.75" customHeight="1">
      <c r="B489" s="7"/>
      <c r="J489" s="68"/>
    </row>
    <row r="490" ht="15.75" customHeight="1">
      <c r="B490" s="7"/>
      <c r="J490" s="68"/>
    </row>
    <row r="491" ht="15.75" customHeight="1">
      <c r="B491" s="7"/>
      <c r="J491" s="68"/>
    </row>
    <row r="492" ht="15.75" customHeight="1">
      <c r="B492" s="7"/>
      <c r="J492" s="68"/>
    </row>
    <row r="493" ht="15.75" customHeight="1">
      <c r="B493" s="7"/>
      <c r="J493" s="68"/>
    </row>
    <row r="494" ht="15.75" customHeight="1">
      <c r="B494" s="7"/>
      <c r="J494" s="68"/>
    </row>
    <row r="495" ht="15.75" customHeight="1">
      <c r="B495" s="7"/>
      <c r="J495" s="68"/>
    </row>
    <row r="496" ht="15.75" customHeight="1">
      <c r="B496" s="7"/>
      <c r="J496" s="68"/>
    </row>
    <row r="497" ht="15.75" customHeight="1">
      <c r="B497" s="7"/>
      <c r="J497" s="68"/>
    </row>
    <row r="498" ht="15.75" customHeight="1">
      <c r="B498" s="7"/>
      <c r="J498" s="68"/>
    </row>
    <row r="499" ht="15.75" customHeight="1">
      <c r="B499" s="7"/>
      <c r="J499" s="68"/>
    </row>
    <row r="500" ht="15.75" customHeight="1">
      <c r="B500" s="7"/>
      <c r="J500" s="68"/>
    </row>
    <row r="501" ht="15.75" customHeight="1">
      <c r="B501" s="7"/>
      <c r="J501" s="68"/>
    </row>
    <row r="502" ht="15.75" customHeight="1">
      <c r="B502" s="7"/>
      <c r="J502" s="68"/>
    </row>
    <row r="503" ht="15.75" customHeight="1">
      <c r="B503" s="7"/>
      <c r="J503" s="68"/>
    </row>
    <row r="504" ht="15.75" customHeight="1">
      <c r="B504" s="7"/>
      <c r="J504" s="68"/>
    </row>
    <row r="505" ht="15.75" customHeight="1">
      <c r="B505" s="7"/>
      <c r="J505" s="68"/>
    </row>
    <row r="506" ht="15.75" customHeight="1">
      <c r="B506" s="7"/>
      <c r="J506" s="68"/>
    </row>
    <row r="507" ht="15.75" customHeight="1">
      <c r="B507" s="7"/>
      <c r="J507" s="68"/>
    </row>
    <row r="508" ht="15.75" customHeight="1">
      <c r="B508" s="7"/>
      <c r="J508" s="68"/>
    </row>
    <row r="509" ht="15.75" customHeight="1">
      <c r="B509" s="7"/>
      <c r="J509" s="68"/>
    </row>
    <row r="510" ht="15.75" customHeight="1">
      <c r="B510" s="7"/>
      <c r="J510" s="68"/>
    </row>
    <row r="511" ht="15.75" customHeight="1">
      <c r="B511" s="7"/>
      <c r="J511" s="68"/>
    </row>
    <row r="512" ht="15.75" customHeight="1">
      <c r="B512" s="7"/>
      <c r="J512" s="68"/>
    </row>
    <row r="513" ht="15.75" customHeight="1">
      <c r="B513" s="7"/>
      <c r="J513" s="68"/>
    </row>
    <row r="514" ht="15.75" customHeight="1">
      <c r="B514" s="7"/>
      <c r="J514" s="68"/>
    </row>
    <row r="515" ht="15.75" customHeight="1">
      <c r="B515" s="7"/>
      <c r="J515" s="68"/>
    </row>
    <row r="516" ht="15.75" customHeight="1">
      <c r="B516" s="7"/>
      <c r="J516" s="68"/>
    </row>
    <row r="517" ht="15.75" customHeight="1">
      <c r="B517" s="7"/>
      <c r="J517" s="68"/>
    </row>
    <row r="518" ht="15.75" customHeight="1">
      <c r="B518" s="7"/>
      <c r="J518" s="68"/>
    </row>
    <row r="519" ht="15.75" customHeight="1">
      <c r="B519" s="7"/>
      <c r="J519" s="68"/>
    </row>
    <row r="520" ht="15.75" customHeight="1">
      <c r="B520" s="7"/>
      <c r="J520" s="68"/>
    </row>
    <row r="521" ht="15.75" customHeight="1">
      <c r="B521" s="7"/>
      <c r="J521" s="68"/>
    </row>
    <row r="522" ht="15.75" customHeight="1">
      <c r="B522" s="7"/>
      <c r="J522" s="68"/>
    </row>
    <row r="523" ht="15.75" customHeight="1">
      <c r="B523" s="7"/>
      <c r="J523" s="68"/>
    </row>
    <row r="524" ht="15.75" customHeight="1">
      <c r="B524" s="7"/>
      <c r="J524" s="68"/>
    </row>
    <row r="525" ht="15.75" customHeight="1">
      <c r="B525" s="7"/>
      <c r="J525" s="68"/>
    </row>
    <row r="526" ht="15.75" customHeight="1">
      <c r="B526" s="7"/>
      <c r="J526" s="68"/>
    </row>
    <row r="527" ht="15.75" customHeight="1">
      <c r="B527" s="7"/>
      <c r="J527" s="68"/>
    </row>
    <row r="528" ht="15.75" customHeight="1">
      <c r="B528" s="7"/>
      <c r="J528" s="68"/>
    </row>
    <row r="529" ht="15.75" customHeight="1">
      <c r="B529" s="7"/>
      <c r="J529" s="68"/>
    </row>
    <row r="530" ht="15.75" customHeight="1">
      <c r="B530" s="7"/>
      <c r="J530" s="68"/>
    </row>
    <row r="531" ht="15.75" customHeight="1">
      <c r="B531" s="7"/>
      <c r="J531" s="68"/>
    </row>
    <row r="532" ht="15.75" customHeight="1">
      <c r="B532" s="7"/>
      <c r="J532" s="68"/>
    </row>
    <row r="533" ht="15.75" customHeight="1">
      <c r="B533" s="7"/>
      <c r="J533" s="68"/>
    </row>
    <row r="534" ht="15.75" customHeight="1">
      <c r="B534" s="7"/>
      <c r="J534" s="68"/>
    </row>
    <row r="535" ht="15.75" customHeight="1">
      <c r="B535" s="7"/>
      <c r="J535" s="68"/>
    </row>
    <row r="536" ht="15.75" customHeight="1">
      <c r="B536" s="7"/>
      <c r="J536" s="68"/>
    </row>
    <row r="537" ht="15.75" customHeight="1">
      <c r="B537" s="7"/>
      <c r="J537" s="68"/>
    </row>
    <row r="538" ht="15.75" customHeight="1">
      <c r="B538" s="7"/>
      <c r="J538" s="68"/>
    </row>
    <row r="539" ht="15.75" customHeight="1">
      <c r="B539" s="7"/>
      <c r="J539" s="68"/>
    </row>
    <row r="540" ht="15.75" customHeight="1">
      <c r="B540" s="7"/>
      <c r="J540" s="68"/>
    </row>
    <row r="541" ht="15.75" customHeight="1">
      <c r="B541" s="7"/>
      <c r="J541" s="68"/>
    </row>
    <row r="542" ht="15.75" customHeight="1">
      <c r="B542" s="7"/>
      <c r="J542" s="68"/>
    </row>
    <row r="543" ht="15.75" customHeight="1">
      <c r="B543" s="7"/>
      <c r="J543" s="68"/>
    </row>
    <row r="544" ht="15.75" customHeight="1">
      <c r="B544" s="7"/>
      <c r="J544" s="68"/>
    </row>
    <row r="545" ht="15.75" customHeight="1">
      <c r="B545" s="7"/>
      <c r="J545" s="68"/>
    </row>
    <row r="546" ht="15.75" customHeight="1">
      <c r="B546" s="7"/>
      <c r="J546" s="68"/>
    </row>
    <row r="547" ht="15.75" customHeight="1">
      <c r="B547" s="7"/>
      <c r="J547" s="68"/>
    </row>
    <row r="548" ht="15.75" customHeight="1">
      <c r="B548" s="7"/>
      <c r="J548" s="68"/>
    </row>
    <row r="549" ht="15.75" customHeight="1">
      <c r="B549" s="7"/>
      <c r="J549" s="68"/>
    </row>
    <row r="550" ht="15.75" customHeight="1">
      <c r="B550" s="7"/>
      <c r="J550" s="68"/>
    </row>
    <row r="551" ht="15.75" customHeight="1">
      <c r="B551" s="7"/>
      <c r="J551" s="68"/>
    </row>
    <row r="552" ht="15.75" customHeight="1">
      <c r="B552" s="7"/>
      <c r="J552" s="68"/>
    </row>
    <row r="553" ht="15.75" customHeight="1">
      <c r="B553" s="7"/>
      <c r="J553" s="68"/>
    </row>
    <row r="554" ht="15.75" customHeight="1">
      <c r="B554" s="7"/>
      <c r="J554" s="68"/>
    </row>
    <row r="555" ht="15.75" customHeight="1">
      <c r="B555" s="7"/>
      <c r="J555" s="68"/>
    </row>
    <row r="556" ht="15.75" customHeight="1">
      <c r="B556" s="7"/>
      <c r="J556" s="68"/>
    </row>
    <row r="557" ht="15.75" customHeight="1">
      <c r="B557" s="7"/>
      <c r="J557" s="68"/>
    </row>
    <row r="558" ht="15.75" customHeight="1">
      <c r="B558" s="7"/>
      <c r="J558" s="68"/>
    </row>
    <row r="559" ht="15.75" customHeight="1">
      <c r="B559" s="7"/>
      <c r="J559" s="68"/>
    </row>
    <row r="560" ht="15.75" customHeight="1">
      <c r="B560" s="7"/>
      <c r="J560" s="68"/>
    </row>
    <row r="561" ht="15.75" customHeight="1">
      <c r="B561" s="7"/>
      <c r="J561" s="68"/>
    </row>
    <row r="562" ht="15.75" customHeight="1">
      <c r="B562" s="7"/>
      <c r="J562" s="68"/>
    </row>
    <row r="563" ht="15.75" customHeight="1">
      <c r="B563" s="7"/>
      <c r="J563" s="68"/>
    </row>
    <row r="564" ht="15.75" customHeight="1">
      <c r="B564" s="7"/>
      <c r="J564" s="68"/>
    </row>
    <row r="565" ht="15.75" customHeight="1">
      <c r="B565" s="7"/>
      <c r="J565" s="68"/>
    </row>
    <row r="566" ht="15.75" customHeight="1">
      <c r="B566" s="7"/>
      <c r="J566" s="68"/>
    </row>
    <row r="567" ht="15.75" customHeight="1">
      <c r="B567" s="7"/>
      <c r="J567" s="68"/>
    </row>
    <row r="568" ht="15.75" customHeight="1">
      <c r="B568" s="7"/>
      <c r="J568" s="68"/>
    </row>
    <row r="569" ht="15.75" customHeight="1">
      <c r="B569" s="7"/>
      <c r="J569" s="68"/>
    </row>
    <row r="570" ht="15.75" customHeight="1">
      <c r="B570" s="7"/>
      <c r="J570" s="68"/>
    </row>
    <row r="571" ht="15.75" customHeight="1">
      <c r="B571" s="7"/>
      <c r="J571" s="68"/>
    </row>
    <row r="572" ht="15.75" customHeight="1">
      <c r="B572" s="7"/>
      <c r="J572" s="68"/>
    </row>
    <row r="573" ht="15.75" customHeight="1">
      <c r="B573" s="7"/>
      <c r="J573" s="68"/>
    </row>
    <row r="574" ht="15.75" customHeight="1">
      <c r="B574" s="7"/>
      <c r="J574" s="68"/>
    </row>
    <row r="575" ht="15.75" customHeight="1">
      <c r="B575" s="7"/>
      <c r="J575" s="68"/>
    </row>
    <row r="576" ht="15.75" customHeight="1">
      <c r="B576" s="7"/>
      <c r="J576" s="68"/>
    </row>
    <row r="577" ht="15.75" customHeight="1">
      <c r="B577" s="7"/>
      <c r="J577" s="68"/>
    </row>
    <row r="578" ht="15.75" customHeight="1">
      <c r="B578" s="7"/>
      <c r="J578" s="68"/>
    </row>
    <row r="579" ht="15.75" customHeight="1">
      <c r="B579" s="7"/>
      <c r="J579" s="68"/>
    </row>
    <row r="580" ht="15.75" customHeight="1">
      <c r="B580" s="7"/>
      <c r="J580" s="68"/>
    </row>
    <row r="581" ht="15.75" customHeight="1">
      <c r="B581" s="7"/>
      <c r="J581" s="68"/>
    </row>
    <row r="582" ht="15.75" customHeight="1">
      <c r="B582" s="7"/>
      <c r="J582" s="68"/>
    </row>
    <row r="583" ht="15.75" customHeight="1">
      <c r="B583" s="7"/>
      <c r="J583" s="68"/>
    </row>
    <row r="584" ht="15.75" customHeight="1">
      <c r="B584" s="7"/>
      <c r="J584" s="68"/>
    </row>
    <row r="585" ht="15.75" customHeight="1">
      <c r="B585" s="7"/>
      <c r="J585" s="68"/>
    </row>
    <row r="586" ht="15.75" customHeight="1">
      <c r="B586" s="7"/>
      <c r="J586" s="68"/>
    </row>
    <row r="587" ht="15.75" customHeight="1">
      <c r="B587" s="7"/>
      <c r="J587" s="68"/>
    </row>
    <row r="588" ht="15.75" customHeight="1">
      <c r="B588" s="7"/>
      <c r="J588" s="68"/>
    </row>
    <row r="589" ht="15.75" customHeight="1">
      <c r="B589" s="7"/>
      <c r="J589" s="68"/>
    </row>
    <row r="590" ht="15.75" customHeight="1">
      <c r="B590" s="7"/>
      <c r="J590" s="68"/>
    </row>
    <row r="591" ht="15.75" customHeight="1">
      <c r="B591" s="7"/>
      <c r="J591" s="68"/>
    </row>
    <row r="592" ht="15.75" customHeight="1">
      <c r="B592" s="7"/>
      <c r="J592" s="68"/>
    </row>
    <row r="593" ht="15.75" customHeight="1">
      <c r="B593" s="7"/>
      <c r="J593" s="68"/>
    </row>
    <row r="594" ht="15.75" customHeight="1">
      <c r="B594" s="7"/>
      <c r="J594" s="68"/>
    </row>
    <row r="595" ht="15.75" customHeight="1">
      <c r="B595" s="7"/>
      <c r="J595" s="68"/>
    </row>
    <row r="596" ht="15.75" customHeight="1">
      <c r="B596" s="7"/>
      <c r="J596" s="68"/>
    </row>
    <row r="597" ht="15.75" customHeight="1">
      <c r="B597" s="7"/>
      <c r="J597" s="68"/>
    </row>
    <row r="598" ht="15.75" customHeight="1">
      <c r="B598" s="7"/>
      <c r="J598" s="68"/>
    </row>
    <row r="599" ht="15.75" customHeight="1">
      <c r="B599" s="7"/>
      <c r="J599" s="68"/>
    </row>
    <row r="600" ht="15.75" customHeight="1">
      <c r="B600" s="7"/>
      <c r="J600" s="68"/>
    </row>
    <row r="601" ht="15.75" customHeight="1">
      <c r="B601" s="7"/>
      <c r="J601" s="68"/>
    </row>
    <row r="602" ht="15.75" customHeight="1">
      <c r="B602" s="7"/>
      <c r="J602" s="68"/>
    </row>
    <row r="603" ht="15.75" customHeight="1">
      <c r="B603" s="7"/>
      <c r="J603" s="68"/>
    </row>
    <row r="604" ht="15.75" customHeight="1">
      <c r="B604" s="7"/>
      <c r="J604" s="68"/>
    </row>
    <row r="605" ht="15.75" customHeight="1">
      <c r="B605" s="7"/>
      <c r="J605" s="68"/>
    </row>
    <row r="606" ht="15.75" customHeight="1">
      <c r="B606" s="7"/>
      <c r="J606" s="68"/>
    </row>
    <row r="607" ht="15.75" customHeight="1">
      <c r="B607" s="7"/>
      <c r="J607" s="68"/>
    </row>
    <row r="608" ht="15.75" customHeight="1">
      <c r="B608" s="7"/>
      <c r="J608" s="68"/>
    </row>
    <row r="609" ht="15.75" customHeight="1">
      <c r="B609" s="7"/>
      <c r="J609" s="68"/>
    </row>
    <row r="610" ht="15.75" customHeight="1">
      <c r="B610" s="7"/>
      <c r="J610" s="68"/>
    </row>
    <row r="611" ht="15.75" customHeight="1">
      <c r="B611" s="7"/>
      <c r="J611" s="68"/>
    </row>
    <row r="612" ht="15.75" customHeight="1">
      <c r="B612" s="7"/>
      <c r="J612" s="68"/>
    </row>
    <row r="613" ht="15.75" customHeight="1">
      <c r="B613" s="7"/>
      <c r="J613" s="68"/>
    </row>
    <row r="614" ht="15.75" customHeight="1">
      <c r="B614" s="7"/>
      <c r="J614" s="68"/>
    </row>
    <row r="615" ht="15.75" customHeight="1">
      <c r="B615" s="7"/>
      <c r="J615" s="68"/>
    </row>
    <row r="616" ht="15.75" customHeight="1">
      <c r="B616" s="7"/>
      <c r="J616" s="68"/>
    </row>
    <row r="617" ht="15.75" customHeight="1">
      <c r="B617" s="7"/>
      <c r="J617" s="68"/>
    </row>
    <row r="618" ht="15.75" customHeight="1">
      <c r="B618" s="7"/>
      <c r="J618" s="68"/>
    </row>
    <row r="619" ht="15.75" customHeight="1">
      <c r="B619" s="7"/>
      <c r="J619" s="68"/>
    </row>
    <row r="620" ht="15.75" customHeight="1">
      <c r="B620" s="7"/>
      <c r="J620" s="68"/>
    </row>
    <row r="621" ht="15.75" customHeight="1">
      <c r="B621" s="7"/>
      <c r="J621" s="68"/>
    </row>
    <row r="622" ht="15.75" customHeight="1">
      <c r="B622" s="7"/>
      <c r="J622" s="68"/>
    </row>
    <row r="623" ht="15.75" customHeight="1">
      <c r="B623" s="7"/>
      <c r="J623" s="68"/>
    </row>
    <row r="624" ht="15.75" customHeight="1">
      <c r="B624" s="7"/>
      <c r="J624" s="68"/>
    </row>
    <row r="625" ht="15.75" customHeight="1">
      <c r="B625" s="7"/>
      <c r="J625" s="68"/>
    </row>
    <row r="626" ht="15.75" customHeight="1">
      <c r="B626" s="7"/>
      <c r="J626" s="68"/>
    </row>
    <row r="627" ht="15.75" customHeight="1">
      <c r="B627" s="7"/>
      <c r="J627" s="68"/>
    </row>
    <row r="628" ht="15.75" customHeight="1">
      <c r="B628" s="7"/>
      <c r="J628" s="68"/>
    </row>
    <row r="629" ht="15.75" customHeight="1">
      <c r="B629" s="7"/>
      <c r="J629" s="68"/>
    </row>
    <row r="630" ht="15.75" customHeight="1">
      <c r="B630" s="7"/>
      <c r="J630" s="68"/>
    </row>
    <row r="631" ht="15.75" customHeight="1">
      <c r="B631" s="7"/>
      <c r="J631" s="68"/>
    </row>
    <row r="632" ht="15.75" customHeight="1">
      <c r="B632" s="7"/>
      <c r="J632" s="68"/>
    </row>
    <row r="633" ht="15.75" customHeight="1">
      <c r="B633" s="7"/>
      <c r="J633" s="68"/>
    </row>
    <row r="634" ht="15.75" customHeight="1">
      <c r="B634" s="7"/>
      <c r="J634" s="68"/>
    </row>
    <row r="635" ht="15.75" customHeight="1">
      <c r="B635" s="7"/>
      <c r="J635" s="68"/>
    </row>
    <row r="636" ht="15.75" customHeight="1">
      <c r="B636" s="7"/>
      <c r="J636" s="68"/>
    </row>
    <row r="637" ht="15.75" customHeight="1">
      <c r="B637" s="7"/>
      <c r="J637" s="68"/>
    </row>
    <row r="638" ht="15.75" customHeight="1">
      <c r="B638" s="7"/>
      <c r="J638" s="68"/>
    </row>
    <row r="639" ht="15.75" customHeight="1">
      <c r="B639" s="7"/>
      <c r="J639" s="68"/>
    </row>
    <row r="640" ht="15.75" customHeight="1">
      <c r="B640" s="7"/>
      <c r="J640" s="68"/>
    </row>
    <row r="641" ht="15.75" customHeight="1">
      <c r="B641" s="7"/>
      <c r="J641" s="68"/>
    </row>
    <row r="642" ht="15.75" customHeight="1">
      <c r="B642" s="7"/>
      <c r="J642" s="68"/>
    </row>
    <row r="643" ht="15.75" customHeight="1">
      <c r="B643" s="7"/>
      <c r="J643" s="68"/>
    </row>
    <row r="644" ht="15.75" customHeight="1">
      <c r="B644" s="7"/>
      <c r="J644" s="68"/>
    </row>
    <row r="645" ht="15.75" customHeight="1">
      <c r="B645" s="7"/>
      <c r="J645" s="68"/>
    </row>
    <row r="646" ht="15.75" customHeight="1">
      <c r="B646" s="7"/>
      <c r="J646" s="68"/>
    </row>
    <row r="647" ht="15.75" customHeight="1">
      <c r="B647" s="7"/>
      <c r="J647" s="68"/>
    </row>
    <row r="648" ht="15.75" customHeight="1">
      <c r="B648" s="7"/>
      <c r="J648" s="68"/>
    </row>
    <row r="649" ht="15.75" customHeight="1">
      <c r="B649" s="7"/>
      <c r="J649" s="68"/>
    </row>
    <row r="650" ht="15.75" customHeight="1">
      <c r="B650" s="7"/>
      <c r="J650" s="68"/>
    </row>
    <row r="651" ht="15.75" customHeight="1">
      <c r="B651" s="7"/>
      <c r="J651" s="68"/>
    </row>
    <row r="652" ht="15.75" customHeight="1">
      <c r="B652" s="7"/>
      <c r="J652" s="68"/>
    </row>
    <row r="653" ht="15.75" customHeight="1">
      <c r="B653" s="7"/>
      <c r="J653" s="68"/>
    </row>
    <row r="654" ht="15.75" customHeight="1">
      <c r="B654" s="7"/>
      <c r="J654" s="68"/>
    </row>
    <row r="655" ht="15.75" customHeight="1">
      <c r="B655" s="7"/>
      <c r="J655" s="68"/>
    </row>
    <row r="656" ht="15.75" customHeight="1">
      <c r="B656" s="7"/>
      <c r="J656" s="68"/>
    </row>
    <row r="657" ht="15.75" customHeight="1">
      <c r="B657" s="7"/>
      <c r="J657" s="68"/>
    </row>
    <row r="658" ht="15.75" customHeight="1">
      <c r="B658" s="7"/>
      <c r="J658" s="68"/>
    </row>
    <row r="659" ht="15.75" customHeight="1">
      <c r="B659" s="7"/>
      <c r="J659" s="68"/>
    </row>
    <row r="660" ht="15.75" customHeight="1">
      <c r="B660" s="7"/>
      <c r="J660" s="68"/>
    </row>
    <row r="661" ht="15.75" customHeight="1">
      <c r="B661" s="7"/>
      <c r="J661" s="68"/>
    </row>
    <row r="662" ht="15.75" customHeight="1">
      <c r="B662" s="7"/>
      <c r="J662" s="68"/>
    </row>
    <row r="663" ht="15.75" customHeight="1">
      <c r="B663" s="7"/>
      <c r="J663" s="68"/>
    </row>
    <row r="664" ht="15.75" customHeight="1">
      <c r="B664" s="7"/>
      <c r="J664" s="68"/>
    </row>
    <row r="665" ht="15.75" customHeight="1">
      <c r="B665" s="7"/>
      <c r="J665" s="68"/>
    </row>
    <row r="666" ht="15.75" customHeight="1">
      <c r="B666" s="7"/>
      <c r="J666" s="68"/>
    </row>
    <row r="667" ht="15.75" customHeight="1">
      <c r="B667" s="7"/>
      <c r="J667" s="68"/>
    </row>
    <row r="668" ht="15.75" customHeight="1">
      <c r="B668" s="7"/>
      <c r="J668" s="68"/>
    </row>
    <row r="669" ht="15.75" customHeight="1">
      <c r="B669" s="7"/>
      <c r="J669" s="68"/>
    </row>
    <row r="670" ht="15.75" customHeight="1">
      <c r="B670" s="7"/>
      <c r="J670" s="68"/>
    </row>
    <row r="671" ht="15.75" customHeight="1">
      <c r="B671" s="7"/>
      <c r="J671" s="68"/>
    </row>
    <row r="672" ht="15.75" customHeight="1">
      <c r="B672" s="7"/>
      <c r="J672" s="68"/>
    </row>
    <row r="673" ht="15.75" customHeight="1">
      <c r="B673" s="7"/>
      <c r="J673" s="68"/>
    </row>
    <row r="674" ht="15.75" customHeight="1">
      <c r="B674" s="7"/>
      <c r="J674" s="68"/>
    </row>
    <row r="675" ht="15.75" customHeight="1">
      <c r="B675" s="7"/>
      <c r="J675" s="68"/>
    </row>
    <row r="676" ht="15.75" customHeight="1">
      <c r="B676" s="7"/>
      <c r="J676" s="68"/>
    </row>
    <row r="677" ht="15.75" customHeight="1">
      <c r="B677" s="7"/>
      <c r="J677" s="68"/>
    </row>
    <row r="678" ht="15.75" customHeight="1">
      <c r="B678" s="7"/>
      <c r="J678" s="68"/>
    </row>
    <row r="679" ht="15.75" customHeight="1">
      <c r="B679" s="7"/>
      <c r="J679" s="68"/>
    </row>
    <row r="680" ht="15.75" customHeight="1">
      <c r="B680" s="7"/>
      <c r="J680" s="68"/>
    </row>
    <row r="681" ht="15.75" customHeight="1">
      <c r="B681" s="7"/>
      <c r="J681" s="68"/>
    </row>
    <row r="682" ht="15.75" customHeight="1">
      <c r="B682" s="7"/>
      <c r="J682" s="68"/>
    </row>
    <row r="683" ht="15.75" customHeight="1">
      <c r="B683" s="7"/>
      <c r="J683" s="68"/>
    </row>
    <row r="684" ht="15.75" customHeight="1">
      <c r="B684" s="7"/>
      <c r="J684" s="68"/>
    </row>
    <row r="685" ht="15.75" customHeight="1">
      <c r="B685" s="7"/>
      <c r="J685" s="68"/>
    </row>
    <row r="686" ht="15.75" customHeight="1">
      <c r="B686" s="7"/>
      <c r="J686" s="68"/>
    </row>
    <row r="687" ht="15.75" customHeight="1">
      <c r="B687" s="7"/>
      <c r="J687" s="68"/>
    </row>
    <row r="688" ht="15.75" customHeight="1">
      <c r="B688" s="7"/>
      <c r="J688" s="68"/>
    </row>
    <row r="689" ht="15.75" customHeight="1">
      <c r="B689" s="7"/>
      <c r="J689" s="68"/>
    </row>
    <row r="690" ht="15.75" customHeight="1">
      <c r="B690" s="7"/>
      <c r="J690" s="68"/>
    </row>
    <row r="691" ht="15.75" customHeight="1">
      <c r="B691" s="7"/>
      <c r="J691" s="68"/>
    </row>
    <row r="692" ht="15.75" customHeight="1">
      <c r="B692" s="7"/>
      <c r="J692" s="68"/>
    </row>
    <row r="693" ht="15.75" customHeight="1">
      <c r="B693" s="7"/>
      <c r="J693" s="68"/>
    </row>
    <row r="694" ht="15.75" customHeight="1">
      <c r="B694" s="7"/>
      <c r="J694" s="68"/>
    </row>
    <row r="695" ht="15.75" customHeight="1">
      <c r="B695" s="7"/>
      <c r="J695" s="68"/>
    </row>
    <row r="696" ht="15.75" customHeight="1">
      <c r="B696" s="7"/>
      <c r="J696" s="68"/>
    </row>
    <row r="697" ht="15.75" customHeight="1">
      <c r="B697" s="7"/>
      <c r="J697" s="68"/>
    </row>
    <row r="698" ht="15.75" customHeight="1">
      <c r="B698" s="7"/>
      <c r="J698" s="68"/>
    </row>
    <row r="699" ht="15.75" customHeight="1">
      <c r="B699" s="7"/>
      <c r="J699" s="68"/>
    </row>
    <row r="700" ht="15.75" customHeight="1">
      <c r="B700" s="7"/>
      <c r="J700" s="68"/>
    </row>
    <row r="701" ht="15.75" customHeight="1">
      <c r="B701" s="7"/>
      <c r="J701" s="68"/>
    </row>
    <row r="702" ht="15.75" customHeight="1">
      <c r="B702" s="7"/>
      <c r="J702" s="68"/>
    </row>
    <row r="703" ht="15.75" customHeight="1">
      <c r="B703" s="7"/>
      <c r="J703" s="68"/>
    </row>
    <row r="704" ht="15.75" customHeight="1">
      <c r="B704" s="7"/>
      <c r="J704" s="68"/>
    </row>
    <row r="705" ht="15.75" customHeight="1">
      <c r="B705" s="7"/>
      <c r="J705" s="68"/>
    </row>
    <row r="706" ht="15.75" customHeight="1">
      <c r="B706" s="7"/>
      <c r="J706" s="68"/>
    </row>
    <row r="707" ht="15.75" customHeight="1">
      <c r="B707" s="7"/>
      <c r="J707" s="68"/>
    </row>
    <row r="708" ht="15.75" customHeight="1">
      <c r="B708" s="7"/>
      <c r="J708" s="68"/>
    </row>
    <row r="709" ht="15.75" customHeight="1">
      <c r="B709" s="7"/>
      <c r="J709" s="68"/>
    </row>
    <row r="710" ht="15.75" customHeight="1">
      <c r="B710" s="7"/>
      <c r="J710" s="68"/>
    </row>
    <row r="711" ht="15.75" customHeight="1">
      <c r="B711" s="7"/>
      <c r="J711" s="68"/>
    </row>
    <row r="712" ht="15.75" customHeight="1">
      <c r="B712" s="7"/>
      <c r="J712" s="68"/>
    </row>
    <row r="713" ht="15.75" customHeight="1">
      <c r="B713" s="7"/>
      <c r="J713" s="68"/>
    </row>
    <row r="714" ht="15.75" customHeight="1">
      <c r="B714" s="7"/>
      <c r="J714" s="68"/>
    </row>
    <row r="715" ht="15.75" customHeight="1">
      <c r="B715" s="7"/>
      <c r="J715" s="68"/>
    </row>
    <row r="716" ht="15.75" customHeight="1">
      <c r="B716" s="7"/>
      <c r="J716" s="68"/>
    </row>
    <row r="717" ht="15.75" customHeight="1">
      <c r="B717" s="7"/>
      <c r="J717" s="68"/>
    </row>
    <row r="718" ht="15.75" customHeight="1">
      <c r="B718" s="7"/>
      <c r="J718" s="68"/>
    </row>
    <row r="719" ht="15.75" customHeight="1">
      <c r="B719" s="7"/>
      <c r="J719" s="68"/>
    </row>
    <row r="720" ht="15.75" customHeight="1">
      <c r="B720" s="7"/>
      <c r="J720" s="68"/>
    </row>
    <row r="721" ht="15.75" customHeight="1">
      <c r="B721" s="7"/>
      <c r="J721" s="68"/>
    </row>
    <row r="722" ht="15.75" customHeight="1">
      <c r="B722" s="7"/>
      <c r="J722" s="68"/>
    </row>
    <row r="723" ht="15.75" customHeight="1">
      <c r="B723" s="7"/>
      <c r="J723" s="68"/>
    </row>
    <row r="724" ht="15.75" customHeight="1">
      <c r="B724" s="7"/>
      <c r="J724" s="68"/>
    </row>
    <row r="725" ht="15.75" customHeight="1">
      <c r="B725" s="7"/>
      <c r="J725" s="68"/>
    </row>
    <row r="726" ht="15.75" customHeight="1">
      <c r="B726" s="7"/>
      <c r="J726" s="68"/>
    </row>
    <row r="727" ht="15.75" customHeight="1">
      <c r="B727" s="7"/>
      <c r="J727" s="68"/>
    </row>
    <row r="728" ht="15.75" customHeight="1">
      <c r="B728" s="7"/>
      <c r="J728" s="68"/>
    </row>
    <row r="729" ht="15.75" customHeight="1">
      <c r="B729" s="7"/>
      <c r="J729" s="68"/>
    </row>
    <row r="730" ht="15.75" customHeight="1">
      <c r="B730" s="7"/>
      <c r="J730" s="68"/>
    </row>
    <row r="731" ht="15.75" customHeight="1">
      <c r="B731" s="7"/>
      <c r="J731" s="68"/>
    </row>
    <row r="732" ht="15.75" customHeight="1">
      <c r="B732" s="7"/>
      <c r="J732" s="68"/>
    </row>
    <row r="733" ht="15.75" customHeight="1">
      <c r="B733" s="7"/>
      <c r="J733" s="68"/>
    </row>
    <row r="734" ht="15.75" customHeight="1">
      <c r="B734" s="7"/>
      <c r="J734" s="68"/>
    </row>
    <row r="735" ht="15.75" customHeight="1">
      <c r="B735" s="7"/>
      <c r="J735" s="68"/>
    </row>
    <row r="736" ht="15.75" customHeight="1">
      <c r="B736" s="7"/>
      <c r="J736" s="68"/>
    </row>
    <row r="737" ht="15.75" customHeight="1">
      <c r="B737" s="7"/>
      <c r="J737" s="68"/>
    </row>
    <row r="738" ht="15.75" customHeight="1">
      <c r="B738" s="7"/>
      <c r="J738" s="68"/>
    </row>
    <row r="739" ht="15.75" customHeight="1">
      <c r="B739" s="7"/>
      <c r="J739" s="68"/>
    </row>
    <row r="740" ht="15.75" customHeight="1">
      <c r="B740" s="7"/>
      <c r="J740" s="68"/>
    </row>
    <row r="741" ht="15.75" customHeight="1">
      <c r="B741" s="7"/>
      <c r="J741" s="68"/>
    </row>
    <row r="742" ht="15.75" customHeight="1">
      <c r="B742" s="7"/>
      <c r="J742" s="68"/>
    </row>
    <row r="743" ht="15.75" customHeight="1">
      <c r="B743" s="7"/>
      <c r="J743" s="68"/>
    </row>
    <row r="744" ht="15.75" customHeight="1">
      <c r="B744" s="7"/>
      <c r="J744" s="68"/>
    </row>
    <row r="745" ht="15.75" customHeight="1">
      <c r="B745" s="7"/>
      <c r="J745" s="68"/>
    </row>
    <row r="746" ht="15.75" customHeight="1">
      <c r="B746" s="7"/>
      <c r="J746" s="68"/>
    </row>
    <row r="747" ht="15.75" customHeight="1">
      <c r="B747" s="7"/>
      <c r="J747" s="68"/>
    </row>
    <row r="748" ht="15.75" customHeight="1">
      <c r="B748" s="7"/>
      <c r="J748" s="68"/>
    </row>
    <row r="749" ht="15.75" customHeight="1">
      <c r="B749" s="7"/>
      <c r="J749" s="68"/>
    </row>
    <row r="750" ht="15.75" customHeight="1">
      <c r="B750" s="7"/>
      <c r="J750" s="68"/>
    </row>
    <row r="751" ht="15.75" customHeight="1">
      <c r="B751" s="7"/>
      <c r="J751" s="68"/>
    </row>
    <row r="752" ht="15.75" customHeight="1">
      <c r="B752" s="7"/>
      <c r="J752" s="68"/>
    </row>
    <row r="753" ht="15.75" customHeight="1">
      <c r="B753" s="7"/>
      <c r="J753" s="68"/>
    </row>
    <row r="754" ht="15.75" customHeight="1">
      <c r="B754" s="7"/>
      <c r="J754" s="68"/>
    </row>
    <row r="755" ht="15.75" customHeight="1">
      <c r="B755" s="7"/>
      <c r="J755" s="68"/>
    </row>
    <row r="756" ht="15.75" customHeight="1">
      <c r="B756" s="7"/>
      <c r="J756" s="68"/>
    </row>
    <row r="757" ht="15.75" customHeight="1">
      <c r="B757" s="7"/>
      <c r="J757" s="68"/>
    </row>
    <row r="758" ht="15.75" customHeight="1">
      <c r="B758" s="7"/>
      <c r="J758" s="68"/>
    </row>
    <row r="759" ht="15.75" customHeight="1">
      <c r="B759" s="7"/>
      <c r="J759" s="68"/>
    </row>
    <row r="760" ht="15.75" customHeight="1">
      <c r="B760" s="7"/>
      <c r="J760" s="68"/>
    </row>
    <row r="761" ht="15.75" customHeight="1">
      <c r="B761" s="7"/>
      <c r="J761" s="68"/>
    </row>
    <row r="762" ht="15.75" customHeight="1">
      <c r="B762" s="7"/>
      <c r="J762" s="68"/>
    </row>
    <row r="763" ht="15.75" customHeight="1">
      <c r="B763" s="7"/>
      <c r="J763" s="68"/>
    </row>
    <row r="764" ht="15.75" customHeight="1">
      <c r="B764" s="7"/>
      <c r="J764" s="68"/>
    </row>
    <row r="765" ht="15.75" customHeight="1">
      <c r="B765" s="7"/>
      <c r="J765" s="68"/>
    </row>
    <row r="766" ht="15.75" customHeight="1">
      <c r="B766" s="7"/>
      <c r="J766" s="68"/>
    </row>
    <row r="767" ht="15.75" customHeight="1">
      <c r="B767" s="7"/>
      <c r="J767" s="68"/>
    </row>
    <row r="768" ht="15.75" customHeight="1">
      <c r="B768" s="7"/>
      <c r="J768" s="68"/>
    </row>
    <row r="769" ht="15.75" customHeight="1">
      <c r="B769" s="7"/>
      <c r="J769" s="68"/>
    </row>
    <row r="770" ht="15.75" customHeight="1">
      <c r="B770" s="7"/>
      <c r="J770" s="68"/>
    </row>
    <row r="771" ht="15.75" customHeight="1">
      <c r="B771" s="7"/>
      <c r="J771" s="68"/>
    </row>
    <row r="772" ht="15.75" customHeight="1">
      <c r="B772" s="7"/>
      <c r="J772" s="68"/>
    </row>
    <row r="773" ht="15.75" customHeight="1">
      <c r="B773" s="7"/>
      <c r="J773" s="68"/>
    </row>
    <row r="774" ht="15.75" customHeight="1">
      <c r="B774" s="7"/>
      <c r="J774" s="68"/>
    </row>
    <row r="775" ht="15.75" customHeight="1">
      <c r="B775" s="7"/>
      <c r="J775" s="68"/>
    </row>
    <row r="776" ht="15.75" customHeight="1">
      <c r="B776" s="7"/>
      <c r="J776" s="68"/>
    </row>
    <row r="777" ht="15.75" customHeight="1">
      <c r="B777" s="7"/>
      <c r="J777" s="68"/>
    </row>
    <row r="778" ht="15.75" customHeight="1">
      <c r="B778" s="7"/>
      <c r="J778" s="68"/>
    </row>
    <row r="779" ht="15.75" customHeight="1">
      <c r="B779" s="7"/>
      <c r="J779" s="68"/>
    </row>
    <row r="780" ht="15.75" customHeight="1">
      <c r="B780" s="7"/>
      <c r="J780" s="68"/>
    </row>
    <row r="781" ht="15.75" customHeight="1">
      <c r="B781" s="7"/>
      <c r="J781" s="68"/>
    </row>
    <row r="782" ht="15.75" customHeight="1">
      <c r="B782" s="7"/>
      <c r="J782" s="68"/>
    </row>
    <row r="783" ht="15.75" customHeight="1">
      <c r="B783" s="7"/>
      <c r="J783" s="68"/>
    </row>
    <row r="784" ht="15.75" customHeight="1">
      <c r="B784" s="7"/>
      <c r="J784" s="68"/>
    </row>
    <row r="785" ht="15.75" customHeight="1">
      <c r="B785" s="7"/>
      <c r="J785" s="68"/>
    </row>
    <row r="786" ht="15.75" customHeight="1">
      <c r="B786" s="7"/>
      <c r="J786" s="68"/>
    </row>
    <row r="787" ht="15.75" customHeight="1">
      <c r="B787" s="7"/>
      <c r="J787" s="68"/>
    </row>
    <row r="788" ht="15.75" customHeight="1">
      <c r="B788" s="7"/>
      <c r="J788" s="68"/>
    </row>
    <row r="789" ht="15.75" customHeight="1">
      <c r="B789" s="7"/>
      <c r="J789" s="68"/>
    </row>
    <row r="790" ht="15.75" customHeight="1">
      <c r="B790" s="7"/>
      <c r="J790" s="68"/>
    </row>
    <row r="791" ht="15.75" customHeight="1">
      <c r="B791" s="7"/>
      <c r="J791" s="68"/>
    </row>
    <row r="792" ht="15.75" customHeight="1">
      <c r="B792" s="7"/>
      <c r="J792" s="68"/>
    </row>
    <row r="793" ht="15.75" customHeight="1">
      <c r="B793" s="7"/>
      <c r="J793" s="68"/>
    </row>
    <row r="794" ht="15.75" customHeight="1">
      <c r="B794" s="7"/>
      <c r="J794" s="68"/>
    </row>
    <row r="795" ht="15.75" customHeight="1">
      <c r="B795" s="7"/>
      <c r="J795" s="68"/>
    </row>
    <row r="796" ht="15.75" customHeight="1">
      <c r="B796" s="7"/>
      <c r="J796" s="68"/>
    </row>
    <row r="797" ht="15.75" customHeight="1">
      <c r="B797" s="7"/>
      <c r="J797" s="68"/>
    </row>
    <row r="798" ht="15.75" customHeight="1">
      <c r="B798" s="7"/>
      <c r="J798" s="68"/>
    </row>
    <row r="799" ht="15.75" customHeight="1">
      <c r="B799" s="7"/>
      <c r="J799" s="68"/>
    </row>
    <row r="800" ht="15.75" customHeight="1">
      <c r="B800" s="7"/>
      <c r="J800" s="68"/>
    </row>
    <row r="801" ht="15.75" customHeight="1">
      <c r="B801" s="7"/>
      <c r="J801" s="68"/>
    </row>
    <row r="802" ht="15.75" customHeight="1">
      <c r="B802" s="7"/>
      <c r="J802" s="68"/>
    </row>
    <row r="803" ht="15.75" customHeight="1">
      <c r="B803" s="7"/>
      <c r="J803" s="68"/>
    </row>
    <row r="804" ht="15.75" customHeight="1">
      <c r="B804" s="7"/>
      <c r="J804" s="68"/>
    </row>
    <row r="805" ht="15.75" customHeight="1">
      <c r="B805" s="7"/>
      <c r="J805" s="68"/>
    </row>
    <row r="806" ht="15.75" customHeight="1">
      <c r="B806" s="7"/>
      <c r="J806" s="68"/>
    </row>
    <row r="807" ht="15.75" customHeight="1">
      <c r="B807" s="7"/>
      <c r="J807" s="68"/>
    </row>
    <row r="808" ht="15.75" customHeight="1">
      <c r="B808" s="7"/>
      <c r="J808" s="68"/>
    </row>
    <row r="809" ht="15.75" customHeight="1">
      <c r="B809" s="7"/>
      <c r="J809" s="68"/>
    </row>
    <row r="810" ht="15.75" customHeight="1">
      <c r="B810" s="7"/>
      <c r="J810" s="68"/>
    </row>
    <row r="811" ht="15.75" customHeight="1">
      <c r="B811" s="7"/>
      <c r="J811" s="68"/>
    </row>
    <row r="812" ht="15.75" customHeight="1">
      <c r="B812" s="7"/>
      <c r="J812" s="68"/>
    </row>
    <row r="813" ht="15.75" customHeight="1">
      <c r="B813" s="7"/>
      <c r="J813" s="68"/>
    </row>
    <row r="814" ht="15.75" customHeight="1">
      <c r="B814" s="7"/>
      <c r="J814" s="68"/>
    </row>
    <row r="815" ht="15.75" customHeight="1">
      <c r="B815" s="7"/>
      <c r="J815" s="68"/>
    </row>
    <row r="816" ht="15.75" customHeight="1">
      <c r="B816" s="7"/>
      <c r="J816" s="68"/>
    </row>
    <row r="817" ht="15.75" customHeight="1">
      <c r="B817" s="7"/>
      <c r="J817" s="68"/>
    </row>
    <row r="818" ht="15.75" customHeight="1">
      <c r="B818" s="7"/>
      <c r="J818" s="68"/>
    </row>
    <row r="819" ht="15.75" customHeight="1">
      <c r="B819" s="7"/>
      <c r="J819" s="68"/>
    </row>
    <row r="820" ht="15.75" customHeight="1">
      <c r="B820" s="7"/>
      <c r="J820" s="68"/>
    </row>
    <row r="821" ht="15.75" customHeight="1">
      <c r="B821" s="7"/>
      <c r="J821" s="68"/>
    </row>
    <row r="822" ht="15.75" customHeight="1">
      <c r="B822" s="7"/>
      <c r="J822" s="68"/>
    </row>
    <row r="823" ht="15.75" customHeight="1">
      <c r="B823" s="7"/>
      <c r="J823" s="68"/>
    </row>
    <row r="824" ht="15.75" customHeight="1">
      <c r="B824" s="7"/>
      <c r="J824" s="68"/>
    </row>
    <row r="825" ht="15.75" customHeight="1">
      <c r="B825" s="7"/>
      <c r="J825" s="68"/>
    </row>
    <row r="826" ht="15.75" customHeight="1">
      <c r="B826" s="7"/>
      <c r="J826" s="68"/>
    </row>
    <row r="827" ht="15.75" customHeight="1">
      <c r="B827" s="7"/>
      <c r="J827" s="68"/>
    </row>
    <row r="828" ht="15.75" customHeight="1">
      <c r="B828" s="7"/>
      <c r="J828" s="68"/>
    </row>
    <row r="829" ht="15.75" customHeight="1">
      <c r="B829" s="7"/>
      <c r="J829" s="68"/>
    </row>
    <row r="830" ht="15.75" customHeight="1">
      <c r="B830" s="7"/>
      <c r="J830" s="68"/>
    </row>
    <row r="831" ht="15.75" customHeight="1">
      <c r="B831" s="7"/>
      <c r="J831" s="68"/>
    </row>
    <row r="832" ht="15.75" customHeight="1">
      <c r="B832" s="7"/>
      <c r="J832" s="68"/>
    </row>
    <row r="833" ht="15.75" customHeight="1">
      <c r="B833" s="7"/>
      <c r="J833" s="68"/>
    </row>
    <row r="834" ht="15.75" customHeight="1">
      <c r="B834" s="7"/>
      <c r="J834" s="68"/>
    </row>
    <row r="835" ht="15.75" customHeight="1">
      <c r="B835" s="7"/>
      <c r="J835" s="68"/>
    </row>
    <row r="836" ht="15.75" customHeight="1">
      <c r="B836" s="7"/>
      <c r="J836" s="68"/>
    </row>
    <row r="837" ht="15.75" customHeight="1">
      <c r="B837" s="7"/>
      <c r="J837" s="68"/>
    </row>
    <row r="838" ht="15.75" customHeight="1">
      <c r="B838" s="7"/>
      <c r="J838" s="68"/>
    </row>
    <row r="839" ht="15.75" customHeight="1">
      <c r="B839" s="7"/>
      <c r="J839" s="68"/>
    </row>
    <row r="840" ht="15.75" customHeight="1">
      <c r="B840" s="7"/>
      <c r="J840" s="68"/>
    </row>
    <row r="841" ht="15.75" customHeight="1">
      <c r="B841" s="7"/>
      <c r="J841" s="68"/>
    </row>
    <row r="842" ht="15.75" customHeight="1">
      <c r="B842" s="7"/>
      <c r="J842" s="68"/>
    </row>
    <row r="843" ht="15.75" customHeight="1">
      <c r="B843" s="7"/>
      <c r="J843" s="68"/>
    </row>
    <row r="844" ht="15.75" customHeight="1">
      <c r="B844" s="7"/>
      <c r="J844" s="68"/>
    </row>
    <row r="845" ht="15.75" customHeight="1">
      <c r="B845" s="7"/>
      <c r="J845" s="68"/>
    </row>
    <row r="846" ht="15.75" customHeight="1">
      <c r="B846" s="7"/>
      <c r="J846" s="68"/>
    </row>
    <row r="847" ht="15.75" customHeight="1">
      <c r="B847" s="7"/>
      <c r="J847" s="68"/>
    </row>
    <row r="848" ht="15.75" customHeight="1">
      <c r="B848" s="7"/>
      <c r="J848" s="68"/>
    </row>
    <row r="849" ht="15.75" customHeight="1">
      <c r="B849" s="7"/>
      <c r="J849" s="68"/>
    </row>
    <row r="850" ht="15.75" customHeight="1">
      <c r="B850" s="7"/>
      <c r="J850" s="68"/>
    </row>
    <row r="851" ht="15.75" customHeight="1">
      <c r="B851" s="7"/>
      <c r="J851" s="68"/>
    </row>
    <row r="852" ht="15.75" customHeight="1">
      <c r="B852" s="7"/>
      <c r="J852" s="68"/>
    </row>
    <row r="853" ht="15.75" customHeight="1">
      <c r="B853" s="7"/>
      <c r="J853" s="68"/>
    </row>
    <row r="854" ht="15.75" customHeight="1">
      <c r="B854" s="7"/>
      <c r="J854" s="68"/>
    </row>
    <row r="855" ht="15.75" customHeight="1">
      <c r="B855" s="7"/>
      <c r="J855" s="68"/>
    </row>
    <row r="856" ht="15.75" customHeight="1">
      <c r="B856" s="7"/>
      <c r="J856" s="68"/>
    </row>
    <row r="857" ht="15.75" customHeight="1">
      <c r="B857" s="7"/>
      <c r="J857" s="68"/>
    </row>
    <row r="858" ht="15.75" customHeight="1">
      <c r="B858" s="7"/>
      <c r="J858" s="68"/>
    </row>
    <row r="859" ht="15.75" customHeight="1">
      <c r="B859" s="7"/>
      <c r="J859" s="68"/>
    </row>
    <row r="860" ht="15.75" customHeight="1">
      <c r="B860" s="7"/>
      <c r="J860" s="68"/>
    </row>
    <row r="861" ht="15.75" customHeight="1">
      <c r="B861" s="7"/>
      <c r="J861" s="68"/>
    </row>
    <row r="862" ht="15.75" customHeight="1">
      <c r="B862" s="7"/>
      <c r="J862" s="68"/>
    </row>
    <row r="863" ht="15.75" customHeight="1">
      <c r="B863" s="7"/>
      <c r="J863" s="68"/>
    </row>
    <row r="864" ht="15.75" customHeight="1">
      <c r="B864" s="7"/>
      <c r="J864" s="68"/>
    </row>
    <row r="865" ht="15.75" customHeight="1">
      <c r="B865" s="7"/>
      <c r="J865" s="68"/>
    </row>
    <row r="866" ht="15.75" customHeight="1">
      <c r="B866" s="7"/>
      <c r="J866" s="68"/>
    </row>
    <row r="867" ht="15.75" customHeight="1">
      <c r="B867" s="7"/>
      <c r="J867" s="68"/>
    </row>
    <row r="868" ht="15.75" customHeight="1">
      <c r="B868" s="7"/>
      <c r="J868" s="68"/>
    </row>
    <row r="869" ht="15.75" customHeight="1">
      <c r="B869" s="7"/>
      <c r="J869" s="68"/>
    </row>
    <row r="870" ht="15.75" customHeight="1">
      <c r="B870" s="7"/>
      <c r="J870" s="68"/>
    </row>
    <row r="871" ht="15.75" customHeight="1">
      <c r="B871" s="7"/>
      <c r="J871" s="68"/>
    </row>
    <row r="872" ht="15.75" customHeight="1">
      <c r="B872" s="7"/>
      <c r="J872" s="68"/>
    </row>
    <row r="873" ht="15.75" customHeight="1">
      <c r="B873" s="7"/>
      <c r="J873" s="68"/>
    </row>
    <row r="874" ht="15.75" customHeight="1">
      <c r="B874" s="7"/>
      <c r="J874" s="68"/>
    </row>
    <row r="875" ht="15.75" customHeight="1">
      <c r="B875" s="7"/>
      <c r="J875" s="68"/>
    </row>
    <row r="876" ht="15.75" customHeight="1">
      <c r="B876" s="7"/>
      <c r="J876" s="68"/>
    </row>
    <row r="877" ht="15.75" customHeight="1">
      <c r="B877" s="7"/>
      <c r="J877" s="68"/>
    </row>
    <row r="878" ht="15.75" customHeight="1">
      <c r="B878" s="7"/>
      <c r="J878" s="68"/>
    </row>
    <row r="879" ht="15.75" customHeight="1">
      <c r="B879" s="7"/>
      <c r="J879" s="68"/>
    </row>
    <row r="880" ht="15.75" customHeight="1">
      <c r="B880" s="7"/>
      <c r="J880" s="68"/>
    </row>
    <row r="881" ht="15.75" customHeight="1">
      <c r="B881" s="7"/>
      <c r="J881" s="68"/>
    </row>
    <row r="882" ht="15.75" customHeight="1">
      <c r="B882" s="7"/>
      <c r="J882" s="68"/>
    </row>
    <row r="883" ht="15.75" customHeight="1">
      <c r="B883" s="7"/>
      <c r="J883" s="68"/>
    </row>
    <row r="884" ht="15.75" customHeight="1">
      <c r="B884" s="7"/>
      <c r="J884" s="68"/>
    </row>
    <row r="885" ht="15.75" customHeight="1">
      <c r="B885" s="7"/>
      <c r="J885" s="68"/>
    </row>
    <row r="886" ht="15.75" customHeight="1">
      <c r="B886" s="7"/>
      <c r="J886" s="68"/>
    </row>
    <row r="887" ht="15.75" customHeight="1">
      <c r="B887" s="7"/>
      <c r="J887" s="68"/>
    </row>
    <row r="888" ht="15.75" customHeight="1">
      <c r="B888" s="7"/>
      <c r="J888" s="68"/>
    </row>
    <row r="889" ht="15.75" customHeight="1">
      <c r="B889" s="7"/>
      <c r="J889" s="68"/>
    </row>
    <row r="890" ht="15.75" customHeight="1">
      <c r="B890" s="7"/>
      <c r="J890" s="68"/>
    </row>
    <row r="891" ht="15.75" customHeight="1">
      <c r="B891" s="7"/>
      <c r="J891" s="68"/>
    </row>
    <row r="892" ht="15.75" customHeight="1">
      <c r="B892" s="7"/>
      <c r="J892" s="68"/>
    </row>
    <row r="893" ht="15.75" customHeight="1">
      <c r="B893" s="7"/>
      <c r="J893" s="68"/>
    </row>
    <row r="894" ht="15.75" customHeight="1">
      <c r="B894" s="7"/>
      <c r="J894" s="68"/>
    </row>
    <row r="895" ht="15.75" customHeight="1">
      <c r="B895" s="7"/>
      <c r="J895" s="68"/>
    </row>
    <row r="896" ht="15.75" customHeight="1">
      <c r="B896" s="7"/>
      <c r="J896" s="68"/>
    </row>
    <row r="897" ht="15.75" customHeight="1">
      <c r="B897" s="7"/>
      <c r="J897" s="68"/>
    </row>
    <row r="898" ht="15.75" customHeight="1">
      <c r="B898" s="7"/>
      <c r="J898" s="68"/>
    </row>
    <row r="899" ht="15.75" customHeight="1">
      <c r="B899" s="7"/>
      <c r="J899" s="68"/>
    </row>
    <row r="900" ht="15.75" customHeight="1">
      <c r="B900" s="7"/>
      <c r="J900" s="68"/>
    </row>
    <row r="901" ht="15.75" customHeight="1">
      <c r="B901" s="7"/>
      <c r="J901" s="68"/>
    </row>
    <row r="902" ht="15.75" customHeight="1">
      <c r="B902" s="7"/>
      <c r="J902" s="68"/>
    </row>
    <row r="903" ht="15.75" customHeight="1">
      <c r="B903" s="7"/>
      <c r="J903" s="68"/>
    </row>
    <row r="904" ht="15.75" customHeight="1">
      <c r="B904" s="7"/>
      <c r="J904" s="68"/>
    </row>
    <row r="905" ht="15.75" customHeight="1">
      <c r="B905" s="7"/>
      <c r="J905" s="68"/>
    </row>
    <row r="906" ht="15.75" customHeight="1">
      <c r="B906" s="7"/>
      <c r="J906" s="68"/>
    </row>
    <row r="907" ht="15.75" customHeight="1">
      <c r="B907" s="7"/>
      <c r="J907" s="68"/>
    </row>
    <row r="908" ht="15.75" customHeight="1">
      <c r="B908" s="7"/>
      <c r="J908" s="68"/>
    </row>
    <row r="909" ht="15.75" customHeight="1">
      <c r="B909" s="7"/>
      <c r="J909" s="68"/>
    </row>
    <row r="910" ht="15.75" customHeight="1">
      <c r="B910" s="7"/>
      <c r="J910" s="68"/>
    </row>
    <row r="911" ht="15.75" customHeight="1">
      <c r="B911" s="7"/>
      <c r="J911" s="68"/>
    </row>
    <row r="912" ht="15.75" customHeight="1">
      <c r="B912" s="7"/>
      <c r="J912" s="68"/>
    </row>
    <row r="913" ht="15.75" customHeight="1">
      <c r="B913" s="7"/>
      <c r="J913" s="68"/>
    </row>
    <row r="914" ht="15.75" customHeight="1">
      <c r="B914" s="7"/>
      <c r="J914" s="68"/>
    </row>
    <row r="915" ht="15.75" customHeight="1">
      <c r="B915" s="7"/>
      <c r="J915" s="68"/>
    </row>
    <row r="916" ht="15.75" customHeight="1">
      <c r="B916" s="7"/>
      <c r="J916" s="68"/>
    </row>
    <row r="917" ht="15.75" customHeight="1">
      <c r="B917" s="7"/>
      <c r="J917" s="68"/>
    </row>
    <row r="918" ht="15.75" customHeight="1">
      <c r="B918" s="7"/>
      <c r="J918" s="68"/>
    </row>
    <row r="919" ht="15.75" customHeight="1">
      <c r="B919" s="7"/>
      <c r="J919" s="68"/>
    </row>
    <row r="920" ht="15.75" customHeight="1">
      <c r="B920" s="7"/>
      <c r="J920" s="68"/>
    </row>
    <row r="921" ht="15.75" customHeight="1">
      <c r="B921" s="7"/>
      <c r="J921" s="68"/>
    </row>
    <row r="922" ht="15.75" customHeight="1">
      <c r="B922" s="7"/>
      <c r="J922" s="68"/>
    </row>
    <row r="923" ht="15.75" customHeight="1">
      <c r="B923" s="7"/>
      <c r="J923" s="68"/>
    </row>
    <row r="924" ht="15.75" customHeight="1">
      <c r="B924" s="7"/>
      <c r="J924" s="68"/>
    </row>
    <row r="925" ht="15.75" customHeight="1">
      <c r="B925" s="7"/>
      <c r="J925" s="68"/>
    </row>
    <row r="926" ht="15.75" customHeight="1">
      <c r="B926" s="7"/>
      <c r="J926" s="68"/>
    </row>
    <row r="927" ht="15.75" customHeight="1">
      <c r="B927" s="7"/>
      <c r="J927" s="68"/>
    </row>
    <row r="928" ht="15.75" customHeight="1">
      <c r="B928" s="7"/>
      <c r="J928" s="68"/>
    </row>
    <row r="929" ht="15.75" customHeight="1">
      <c r="B929" s="7"/>
      <c r="J929" s="68"/>
    </row>
    <row r="930" ht="15.75" customHeight="1">
      <c r="B930" s="7"/>
      <c r="J930" s="68"/>
    </row>
    <row r="931" ht="15.75" customHeight="1">
      <c r="B931" s="7"/>
      <c r="J931" s="68"/>
    </row>
    <row r="932" ht="15.75" customHeight="1">
      <c r="B932" s="7"/>
      <c r="J932" s="68"/>
    </row>
    <row r="933" ht="15.75" customHeight="1">
      <c r="B933" s="7"/>
      <c r="J933" s="68"/>
    </row>
    <row r="934" ht="15.75" customHeight="1">
      <c r="B934" s="7"/>
      <c r="J934" s="68"/>
    </row>
    <row r="935" ht="15.75" customHeight="1">
      <c r="B935" s="7"/>
      <c r="J935" s="68"/>
    </row>
    <row r="936" ht="15.75" customHeight="1">
      <c r="B936" s="7"/>
      <c r="J936" s="68"/>
    </row>
    <row r="937" ht="15.75" customHeight="1">
      <c r="B937" s="7"/>
      <c r="J937" s="68"/>
    </row>
    <row r="938" ht="15.75" customHeight="1">
      <c r="B938" s="7"/>
      <c r="J938" s="68"/>
    </row>
    <row r="939" ht="15.75" customHeight="1">
      <c r="B939" s="7"/>
      <c r="J939" s="68"/>
    </row>
    <row r="940" ht="15.75" customHeight="1">
      <c r="B940" s="7"/>
      <c r="J940" s="68"/>
    </row>
    <row r="941" ht="15.75" customHeight="1">
      <c r="B941" s="7"/>
      <c r="J941" s="68"/>
    </row>
    <row r="942" ht="15.75" customHeight="1">
      <c r="B942" s="7"/>
      <c r="J942" s="68"/>
    </row>
    <row r="943" ht="15.75" customHeight="1">
      <c r="B943" s="7"/>
      <c r="J943" s="68"/>
    </row>
    <row r="944" ht="15.75" customHeight="1">
      <c r="B944" s="7"/>
      <c r="J944" s="68"/>
    </row>
    <row r="945" ht="15.75" customHeight="1">
      <c r="B945" s="7"/>
      <c r="J945" s="68"/>
    </row>
    <row r="946" ht="15.75" customHeight="1">
      <c r="B946" s="7"/>
      <c r="J946" s="68"/>
    </row>
    <row r="947" ht="15.75" customHeight="1">
      <c r="B947" s="7"/>
      <c r="J947" s="68"/>
    </row>
    <row r="948" ht="15.75" customHeight="1">
      <c r="B948" s="7"/>
      <c r="J948" s="68"/>
    </row>
    <row r="949" ht="15.75" customHeight="1">
      <c r="B949" s="7"/>
      <c r="J949" s="68"/>
    </row>
    <row r="950" ht="15.75" customHeight="1">
      <c r="B950" s="7"/>
      <c r="J950" s="68"/>
    </row>
    <row r="951" ht="15.75" customHeight="1">
      <c r="B951" s="7"/>
      <c r="J951" s="68"/>
    </row>
    <row r="952" ht="15.75" customHeight="1">
      <c r="B952" s="7"/>
      <c r="J952" s="68"/>
    </row>
    <row r="953" ht="15.75" customHeight="1">
      <c r="B953" s="7"/>
      <c r="J953" s="68"/>
    </row>
    <row r="954" ht="15.75" customHeight="1">
      <c r="B954" s="7"/>
      <c r="J954" s="68"/>
    </row>
    <row r="955" ht="15.75" customHeight="1">
      <c r="B955" s="7"/>
      <c r="J955" s="68"/>
    </row>
    <row r="956" ht="15.75" customHeight="1">
      <c r="B956" s="7"/>
      <c r="J956" s="68"/>
    </row>
    <row r="957" ht="15.75" customHeight="1">
      <c r="B957" s="7"/>
      <c r="J957" s="68"/>
    </row>
    <row r="958" ht="15.75" customHeight="1">
      <c r="B958" s="7"/>
      <c r="J958" s="68"/>
    </row>
    <row r="959" ht="15.75" customHeight="1">
      <c r="B959" s="7"/>
      <c r="J959" s="68"/>
    </row>
    <row r="960" ht="15.75" customHeight="1">
      <c r="B960" s="7"/>
      <c r="J960" s="68"/>
    </row>
    <row r="961" ht="15.75" customHeight="1">
      <c r="B961" s="7"/>
      <c r="J961" s="68"/>
    </row>
    <row r="962" ht="15.75" customHeight="1">
      <c r="B962" s="7"/>
      <c r="J962" s="68"/>
    </row>
    <row r="963" ht="15.75" customHeight="1">
      <c r="B963" s="7"/>
      <c r="J963" s="68"/>
    </row>
    <row r="964" ht="15.75" customHeight="1">
      <c r="B964" s="7"/>
      <c r="J964" s="68"/>
    </row>
    <row r="965" ht="15.75" customHeight="1">
      <c r="B965" s="7"/>
      <c r="J965" s="68"/>
    </row>
    <row r="966" ht="15.75" customHeight="1">
      <c r="B966" s="7"/>
      <c r="J966" s="68"/>
    </row>
    <row r="967" ht="15.75" customHeight="1">
      <c r="B967" s="7"/>
      <c r="J967" s="68"/>
    </row>
    <row r="968" ht="15.75" customHeight="1">
      <c r="B968" s="7"/>
      <c r="J968" s="68"/>
    </row>
    <row r="969" ht="15.75" customHeight="1">
      <c r="B969" s="7"/>
      <c r="J969" s="68"/>
    </row>
    <row r="970" ht="15.75" customHeight="1">
      <c r="B970" s="7"/>
      <c r="J970" s="68"/>
    </row>
    <row r="971" ht="15.75" customHeight="1">
      <c r="B971" s="7"/>
      <c r="J971" s="68"/>
    </row>
    <row r="972" ht="15.75" customHeight="1">
      <c r="B972" s="7"/>
      <c r="J972" s="68"/>
    </row>
    <row r="973" ht="15.75" customHeight="1">
      <c r="B973" s="7"/>
      <c r="J973" s="68"/>
    </row>
    <row r="974" ht="15.75" customHeight="1">
      <c r="B974" s="7"/>
      <c r="J974" s="68"/>
    </row>
    <row r="975" ht="15.75" customHeight="1">
      <c r="B975" s="7"/>
      <c r="J975" s="68"/>
    </row>
    <row r="976" ht="15.75" customHeight="1">
      <c r="B976" s="7"/>
      <c r="J976" s="68"/>
    </row>
    <row r="977" ht="15.75" customHeight="1">
      <c r="B977" s="7"/>
      <c r="J977" s="68"/>
    </row>
    <row r="978" ht="15.75" customHeight="1">
      <c r="B978" s="7"/>
      <c r="J978" s="68"/>
    </row>
    <row r="979" ht="15.75" customHeight="1">
      <c r="B979" s="7"/>
      <c r="J979" s="68"/>
    </row>
    <row r="980" ht="15.75" customHeight="1">
      <c r="B980" s="7"/>
      <c r="J980" s="68"/>
    </row>
    <row r="981" ht="15.75" customHeight="1">
      <c r="B981" s="7"/>
      <c r="J981" s="68"/>
    </row>
    <row r="982" ht="15.75" customHeight="1">
      <c r="B982" s="7"/>
      <c r="J982" s="68"/>
    </row>
    <row r="983" ht="15.75" customHeight="1">
      <c r="B983" s="7"/>
      <c r="J983" s="68"/>
    </row>
    <row r="984" ht="15.75" customHeight="1">
      <c r="B984" s="7"/>
      <c r="J984" s="68"/>
    </row>
    <row r="985" ht="15.75" customHeight="1">
      <c r="B985" s="7"/>
      <c r="J985" s="68"/>
    </row>
    <row r="986" ht="15.75" customHeight="1">
      <c r="B986" s="7"/>
      <c r="J986" s="68"/>
    </row>
    <row r="987" ht="15.75" customHeight="1">
      <c r="B987" s="7"/>
      <c r="J987" s="68"/>
    </row>
    <row r="988" ht="15.75" customHeight="1">
      <c r="B988" s="7"/>
      <c r="J988" s="68"/>
    </row>
    <row r="989" ht="15.75" customHeight="1">
      <c r="B989" s="7"/>
      <c r="J989" s="68"/>
    </row>
    <row r="990" ht="15.75" customHeight="1">
      <c r="B990" s="7"/>
      <c r="J990" s="68"/>
    </row>
    <row r="991" ht="15.75" customHeight="1">
      <c r="B991" s="7"/>
      <c r="J991" s="68"/>
    </row>
    <row r="992" ht="15.75" customHeight="1">
      <c r="B992" s="7"/>
      <c r="J992" s="68"/>
    </row>
    <row r="993" ht="15.75" customHeight="1">
      <c r="B993" s="7"/>
      <c r="J993" s="68"/>
    </row>
    <row r="994" ht="15.75" customHeight="1">
      <c r="B994" s="7"/>
      <c r="J994" s="68"/>
    </row>
    <row r="995" ht="15.75" customHeight="1">
      <c r="B995" s="7"/>
      <c r="J995" s="68"/>
    </row>
    <row r="996" ht="15.75" customHeight="1">
      <c r="B996" s="7"/>
      <c r="J996" s="68"/>
    </row>
    <row r="997" ht="15.75" customHeight="1">
      <c r="B997" s="7"/>
      <c r="J997" s="68"/>
    </row>
    <row r="998" ht="15.75" customHeight="1">
      <c r="B998" s="7"/>
      <c r="J998" s="68"/>
    </row>
    <row r="999" ht="15.75" customHeight="1">
      <c r="B999" s="7"/>
      <c r="J999" s="68"/>
    </row>
    <row r="1000" ht="15.75" customHeight="1">
      <c r="B1000" s="7"/>
      <c r="J1000" s="6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69" t="s">
        <v>5</v>
      </c>
      <c r="G1" s="1" t="s">
        <v>6</v>
      </c>
      <c r="H1" s="4" t="s">
        <v>33</v>
      </c>
      <c r="I1" s="4" t="s">
        <v>34</v>
      </c>
      <c r="J1" s="67" t="s">
        <v>94</v>
      </c>
      <c r="K1" s="4" t="s">
        <v>95</v>
      </c>
      <c r="L1" s="4" t="s">
        <v>96</v>
      </c>
      <c r="M1" s="4" t="s">
        <v>97</v>
      </c>
      <c r="N1" s="4" t="s">
        <v>98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70">
        <v>4723698.0</v>
      </c>
      <c r="G2" s="2">
        <v>642.0</v>
      </c>
      <c r="H2" s="6">
        <f t="shared" ref="H2:H201" si="2">$E2*0.6</f>
        <v>3257.724</v>
      </c>
      <c r="I2" s="6">
        <f t="shared" ref="I2:I201" si="3">($E2-$H2)*$D2</f>
        <v>1889479.92</v>
      </c>
      <c r="J2" s="68">
        <f t="shared" ref="J2:K2" si="1">D2*1</f>
        <v>870</v>
      </c>
      <c r="K2" s="6">
        <f t="shared" si="1"/>
        <v>5429.54</v>
      </c>
      <c r="L2" s="6">
        <f t="shared" ref="L2:L201" si="5">H2*1</f>
        <v>3257.724</v>
      </c>
      <c r="M2" s="6">
        <f t="shared" ref="M2:M201" si="6">J2*K2</f>
        <v>4723699.8</v>
      </c>
      <c r="N2" s="6">
        <f t="shared" ref="N2:N201" si="7">(K2-L2)*J2</f>
        <v>1889479.92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70">
        <v>2054033.0</v>
      </c>
      <c r="G3" s="2">
        <v>224.0</v>
      </c>
      <c r="H3" s="6">
        <f t="shared" si="2"/>
        <v>4294.146</v>
      </c>
      <c r="I3" s="6">
        <f t="shared" si="3"/>
        <v>821613.268</v>
      </c>
      <c r="J3" s="68">
        <f t="shared" ref="J3:K3" si="4">D3*1</f>
        <v>287</v>
      </c>
      <c r="K3" s="6">
        <f t="shared" si="4"/>
        <v>7156.91</v>
      </c>
      <c r="L3" s="6">
        <f t="shared" si="5"/>
        <v>4294.146</v>
      </c>
      <c r="M3" s="6">
        <f t="shared" si="6"/>
        <v>2054033.17</v>
      </c>
      <c r="N3" s="6">
        <f t="shared" si="7"/>
        <v>821613.268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70">
        <v>2346658.0</v>
      </c>
      <c r="G4" s="2">
        <v>326.0</v>
      </c>
      <c r="H4" s="6">
        <f t="shared" si="2"/>
        <v>4034.37</v>
      </c>
      <c r="I4" s="6">
        <f t="shared" si="3"/>
        <v>938663.42</v>
      </c>
      <c r="J4" s="68">
        <f t="shared" ref="J4:K4" si="8">D4*1</f>
        <v>349</v>
      </c>
      <c r="K4" s="6">
        <f t="shared" si="8"/>
        <v>6723.95</v>
      </c>
      <c r="L4" s="6">
        <f t="shared" si="5"/>
        <v>4034.37</v>
      </c>
      <c r="M4" s="6">
        <f t="shared" si="6"/>
        <v>2346658.55</v>
      </c>
      <c r="N4" s="6">
        <f t="shared" si="7"/>
        <v>938663.42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70">
        <v>4003753.0</v>
      </c>
      <c r="G5" s="2">
        <v>589.0</v>
      </c>
      <c r="H5" s="6">
        <f t="shared" si="2"/>
        <v>3160.86</v>
      </c>
      <c r="I5" s="6">
        <f t="shared" si="3"/>
        <v>1601502.4</v>
      </c>
      <c r="J5" s="68">
        <f t="shared" ref="J5:K5" si="9">D5*1</f>
        <v>760</v>
      </c>
      <c r="K5" s="6">
        <f t="shared" si="9"/>
        <v>5268.1</v>
      </c>
      <c r="L5" s="6">
        <f t="shared" si="5"/>
        <v>3160.86</v>
      </c>
      <c r="M5" s="6">
        <f t="shared" si="6"/>
        <v>4003756</v>
      </c>
      <c r="N5" s="6">
        <f t="shared" si="7"/>
        <v>1601502.4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70">
        <v>5582127.0</v>
      </c>
      <c r="G6" s="2">
        <v>825.0</v>
      </c>
      <c r="H6" s="6">
        <f t="shared" si="2"/>
        <v>2887.308</v>
      </c>
      <c r="I6" s="6">
        <f t="shared" si="3"/>
        <v>2232851.52</v>
      </c>
      <c r="J6" s="68">
        <f t="shared" ref="J6:K6" si="10">D6*1</f>
        <v>1160</v>
      </c>
      <c r="K6" s="6">
        <f t="shared" si="10"/>
        <v>4812.18</v>
      </c>
      <c r="L6" s="6">
        <f t="shared" si="5"/>
        <v>2887.308</v>
      </c>
      <c r="M6" s="6">
        <f t="shared" si="6"/>
        <v>5582128.8</v>
      </c>
      <c r="N6" s="6">
        <f t="shared" si="7"/>
        <v>2232851.52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70">
        <v>3048297.0</v>
      </c>
      <c r="G7" s="2">
        <v>375.0</v>
      </c>
      <c r="H7" s="6">
        <f t="shared" si="2"/>
        <v>4128.618</v>
      </c>
      <c r="I7" s="6">
        <f t="shared" si="3"/>
        <v>1219318.516</v>
      </c>
      <c r="J7" s="68">
        <f t="shared" ref="J7:K7" si="11">D7*1</f>
        <v>443</v>
      </c>
      <c r="K7" s="6">
        <f t="shared" si="11"/>
        <v>6881.03</v>
      </c>
      <c r="L7" s="6">
        <f t="shared" si="5"/>
        <v>4128.618</v>
      </c>
      <c r="M7" s="6">
        <f t="shared" si="6"/>
        <v>3048296.29</v>
      </c>
      <c r="N7" s="6">
        <f t="shared" si="7"/>
        <v>1219318.516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70">
        <v>2177655.0</v>
      </c>
      <c r="G8" s="2">
        <v>241.0</v>
      </c>
      <c r="H8" s="6">
        <f t="shared" si="2"/>
        <v>3911.952</v>
      </c>
      <c r="I8" s="6">
        <f t="shared" si="3"/>
        <v>871061.312</v>
      </c>
      <c r="J8" s="68">
        <f t="shared" ref="J8:K8" si="12">D8*1</f>
        <v>334</v>
      </c>
      <c r="K8" s="6">
        <f t="shared" si="12"/>
        <v>6519.92</v>
      </c>
      <c r="L8" s="6">
        <f t="shared" si="5"/>
        <v>3911.952</v>
      </c>
      <c r="M8" s="6">
        <f t="shared" si="6"/>
        <v>2177653.28</v>
      </c>
      <c r="N8" s="6">
        <f t="shared" si="7"/>
        <v>871061.312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70">
        <v>3233699.0</v>
      </c>
      <c r="G9" s="2">
        <v>328.0</v>
      </c>
      <c r="H9" s="6">
        <f t="shared" si="2"/>
        <v>4190.538</v>
      </c>
      <c r="I9" s="6">
        <f t="shared" si="3"/>
        <v>1293479.396</v>
      </c>
      <c r="J9" s="68">
        <f t="shared" ref="J9:K9" si="13">D9*1</f>
        <v>463</v>
      </c>
      <c r="K9" s="6">
        <f t="shared" si="13"/>
        <v>6984.23</v>
      </c>
      <c r="L9" s="6">
        <f t="shared" si="5"/>
        <v>4190.538</v>
      </c>
      <c r="M9" s="6">
        <f t="shared" si="6"/>
        <v>3233698.49</v>
      </c>
      <c r="N9" s="6">
        <f t="shared" si="7"/>
        <v>1293479.396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70">
        <v>4291949.0</v>
      </c>
      <c r="G10" s="2">
        <v>152.0</v>
      </c>
      <c r="H10" s="6">
        <f t="shared" si="2"/>
        <v>12685.566</v>
      </c>
      <c r="I10" s="6">
        <f t="shared" si="3"/>
        <v>1716779.932</v>
      </c>
      <c r="J10" s="68">
        <f t="shared" ref="J10:K10" si="14">D10*1</f>
        <v>203</v>
      </c>
      <c r="K10" s="6">
        <f t="shared" si="14"/>
        <v>21142.61</v>
      </c>
      <c r="L10" s="6">
        <f t="shared" si="5"/>
        <v>12685.566</v>
      </c>
      <c r="M10" s="6">
        <f t="shared" si="6"/>
        <v>4291949.83</v>
      </c>
      <c r="N10" s="6">
        <f t="shared" si="7"/>
        <v>1716779.932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70">
        <v>5610453.0</v>
      </c>
      <c r="G11" s="2">
        <v>894.0</v>
      </c>
      <c r="H11" s="6">
        <f t="shared" si="2"/>
        <v>3362.91</v>
      </c>
      <c r="I11" s="6">
        <f t="shared" si="3"/>
        <v>2244181.94</v>
      </c>
      <c r="J11" s="68">
        <f t="shared" ref="J11:K11" si="15">D11*1</f>
        <v>1001</v>
      </c>
      <c r="K11" s="6">
        <f t="shared" si="15"/>
        <v>5604.85</v>
      </c>
      <c r="L11" s="6">
        <f t="shared" si="5"/>
        <v>3362.91</v>
      </c>
      <c r="M11" s="6">
        <f t="shared" si="6"/>
        <v>5610454.85</v>
      </c>
      <c r="N11" s="6">
        <f t="shared" si="7"/>
        <v>2244181.94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70">
        <v>2347490.0</v>
      </c>
      <c r="G12" s="2">
        <v>95.0</v>
      </c>
      <c r="H12" s="6">
        <f t="shared" si="2"/>
        <v>12464.55</v>
      </c>
      <c r="I12" s="6">
        <f t="shared" si="3"/>
        <v>938996.1</v>
      </c>
      <c r="J12" s="68">
        <f t="shared" ref="J12:K12" si="16">D12*1</f>
        <v>113</v>
      </c>
      <c r="K12" s="6">
        <f t="shared" si="16"/>
        <v>20774.25</v>
      </c>
      <c r="L12" s="6">
        <f t="shared" si="5"/>
        <v>12464.55</v>
      </c>
      <c r="M12" s="6">
        <f t="shared" si="6"/>
        <v>2347490.25</v>
      </c>
      <c r="N12" s="6">
        <f t="shared" si="7"/>
        <v>938996.1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70">
        <v>5188848.0</v>
      </c>
      <c r="G13" s="2">
        <v>782.0</v>
      </c>
      <c r="H13" s="6">
        <f t="shared" si="2"/>
        <v>3322.638</v>
      </c>
      <c r="I13" s="6">
        <f t="shared" si="3"/>
        <v>2075541.204</v>
      </c>
      <c r="J13" s="68">
        <f t="shared" ref="J13:K13" si="17">D13*1</f>
        <v>937</v>
      </c>
      <c r="K13" s="6">
        <f t="shared" si="17"/>
        <v>5537.73</v>
      </c>
      <c r="L13" s="6">
        <f t="shared" si="5"/>
        <v>3322.638</v>
      </c>
      <c r="M13" s="6">
        <f t="shared" si="6"/>
        <v>5188853.01</v>
      </c>
      <c r="N13" s="6">
        <f t="shared" si="7"/>
        <v>2075541.204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70">
        <v>3993151.0</v>
      </c>
      <c r="G14" s="2">
        <v>708.0</v>
      </c>
      <c r="H14" s="6">
        <f t="shared" si="2"/>
        <v>3044.334</v>
      </c>
      <c r="I14" s="6">
        <f t="shared" si="3"/>
        <v>1597260.572</v>
      </c>
      <c r="J14" s="68">
        <f t="shared" ref="J14:K14" si="18">D14*1</f>
        <v>787</v>
      </c>
      <c r="K14" s="6">
        <f t="shared" si="18"/>
        <v>5073.89</v>
      </c>
      <c r="L14" s="6">
        <f t="shared" si="5"/>
        <v>3044.334</v>
      </c>
      <c r="M14" s="6">
        <f t="shared" si="6"/>
        <v>3993151.43</v>
      </c>
      <c r="N14" s="6">
        <f t="shared" si="7"/>
        <v>1597260.572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70">
        <v>1401988.0</v>
      </c>
      <c r="G15" s="2">
        <v>185.0</v>
      </c>
      <c r="H15" s="6">
        <f t="shared" si="2"/>
        <v>4044.198</v>
      </c>
      <c r="I15" s="6">
        <f t="shared" si="3"/>
        <v>560795.456</v>
      </c>
      <c r="J15" s="68">
        <f t="shared" ref="J15:K15" si="19">D15*1</f>
        <v>208</v>
      </c>
      <c r="K15" s="6">
        <f t="shared" si="19"/>
        <v>6740.33</v>
      </c>
      <c r="L15" s="6">
        <f t="shared" si="5"/>
        <v>4044.198</v>
      </c>
      <c r="M15" s="6">
        <f t="shared" si="6"/>
        <v>1401988.64</v>
      </c>
      <c r="N15" s="6">
        <f t="shared" si="7"/>
        <v>560795.456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70">
        <v>2329121.0</v>
      </c>
      <c r="G16" s="2">
        <v>303.0</v>
      </c>
      <c r="H16" s="6">
        <f t="shared" si="2"/>
        <v>4134.534</v>
      </c>
      <c r="I16" s="6">
        <f t="shared" si="3"/>
        <v>931648.328</v>
      </c>
      <c r="J16" s="68">
        <f t="shared" ref="J16:K16" si="20">D16*1</f>
        <v>338</v>
      </c>
      <c r="K16" s="6">
        <f t="shared" si="20"/>
        <v>6890.89</v>
      </c>
      <c r="L16" s="6">
        <f t="shared" si="5"/>
        <v>4134.534</v>
      </c>
      <c r="M16" s="6">
        <f t="shared" si="6"/>
        <v>2329120.82</v>
      </c>
      <c r="N16" s="6">
        <f t="shared" si="7"/>
        <v>931648.328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70">
        <v>1542716.0</v>
      </c>
      <c r="G17" s="2">
        <v>222.0</v>
      </c>
      <c r="H17" s="6">
        <f t="shared" si="2"/>
        <v>3856.788</v>
      </c>
      <c r="I17" s="6">
        <f t="shared" si="3"/>
        <v>617086.08</v>
      </c>
      <c r="J17" s="68">
        <f t="shared" ref="J17:K17" si="21">D17*1</f>
        <v>240</v>
      </c>
      <c r="K17" s="6">
        <f t="shared" si="21"/>
        <v>6427.98</v>
      </c>
      <c r="L17" s="6">
        <f t="shared" si="5"/>
        <v>3856.788</v>
      </c>
      <c r="M17" s="6">
        <f t="shared" si="6"/>
        <v>1542715.2</v>
      </c>
      <c r="N17" s="6">
        <f t="shared" si="7"/>
        <v>617086.08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70">
        <v>510722.0</v>
      </c>
      <c r="G18" s="2">
        <v>337.0</v>
      </c>
      <c r="H18" s="6">
        <f t="shared" si="2"/>
        <v>709.338</v>
      </c>
      <c r="I18" s="6">
        <f t="shared" si="3"/>
        <v>204289.344</v>
      </c>
      <c r="J18" s="68">
        <f t="shared" ref="J18:K18" si="22">D18*1</f>
        <v>432</v>
      </c>
      <c r="K18" s="6">
        <f t="shared" si="22"/>
        <v>1182.23</v>
      </c>
      <c r="L18" s="6">
        <f t="shared" si="5"/>
        <v>709.338</v>
      </c>
      <c r="M18" s="6">
        <f t="shared" si="6"/>
        <v>510723.36</v>
      </c>
      <c r="N18" s="6">
        <f t="shared" si="7"/>
        <v>204289.344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70">
        <v>1303832.0</v>
      </c>
      <c r="G19" s="2">
        <v>1037.0</v>
      </c>
      <c r="H19" s="6">
        <f t="shared" si="2"/>
        <v>695.376</v>
      </c>
      <c r="I19" s="6">
        <f t="shared" si="3"/>
        <v>521532</v>
      </c>
      <c r="J19" s="68">
        <f t="shared" ref="J19:K19" si="23">D19*1</f>
        <v>1125</v>
      </c>
      <c r="K19" s="6">
        <f t="shared" si="23"/>
        <v>1158.96</v>
      </c>
      <c r="L19" s="6">
        <f t="shared" si="5"/>
        <v>695.376</v>
      </c>
      <c r="M19" s="6">
        <f t="shared" si="6"/>
        <v>1303830</v>
      </c>
      <c r="N19" s="6">
        <f t="shared" si="7"/>
        <v>521532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70">
        <v>5722566.0</v>
      </c>
      <c r="G20" s="2">
        <v>805.0</v>
      </c>
      <c r="H20" s="6">
        <f t="shared" si="2"/>
        <v>3236.136</v>
      </c>
      <c r="I20" s="6">
        <f t="shared" si="3"/>
        <v>2289026.864</v>
      </c>
      <c r="J20" s="68">
        <f t="shared" ref="J20:K20" si="24">D20*1</f>
        <v>1061</v>
      </c>
      <c r="K20" s="6">
        <f t="shared" si="24"/>
        <v>5393.56</v>
      </c>
      <c r="L20" s="6">
        <f t="shared" si="5"/>
        <v>3236.136</v>
      </c>
      <c r="M20" s="6">
        <f t="shared" si="6"/>
        <v>5722567.16</v>
      </c>
      <c r="N20" s="6">
        <f t="shared" si="7"/>
        <v>2289026.864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70">
        <v>4390463.0</v>
      </c>
      <c r="G21" s="2">
        <v>650.0</v>
      </c>
      <c r="H21" s="6">
        <f t="shared" si="2"/>
        <v>3268.332</v>
      </c>
      <c r="I21" s="6">
        <f t="shared" si="3"/>
        <v>1756183.728</v>
      </c>
      <c r="J21" s="68">
        <f t="shared" ref="J21:K21" si="25">D21*1</f>
        <v>806</v>
      </c>
      <c r="K21" s="6">
        <f t="shared" si="25"/>
        <v>5447.22</v>
      </c>
      <c r="L21" s="6">
        <f t="shared" si="5"/>
        <v>3268.332</v>
      </c>
      <c r="M21" s="6">
        <f t="shared" si="6"/>
        <v>4390459.32</v>
      </c>
      <c r="N21" s="6">
        <f t="shared" si="7"/>
        <v>1756183.728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70">
        <v>6208155.0</v>
      </c>
      <c r="G22" s="2">
        <v>987.0</v>
      </c>
      <c r="H22" s="6">
        <f t="shared" si="2"/>
        <v>3172.824</v>
      </c>
      <c r="I22" s="6">
        <f t="shared" si="3"/>
        <v>2483263.584</v>
      </c>
      <c r="J22" s="68">
        <f t="shared" ref="J22:K22" si="26">D22*1</f>
        <v>1174</v>
      </c>
      <c r="K22" s="6">
        <f t="shared" si="26"/>
        <v>5288.04</v>
      </c>
      <c r="L22" s="6">
        <f t="shared" si="5"/>
        <v>3172.824</v>
      </c>
      <c r="M22" s="6">
        <f t="shared" si="6"/>
        <v>6208158.96</v>
      </c>
      <c r="N22" s="6">
        <f t="shared" si="7"/>
        <v>2483263.584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70">
        <v>3004991.0</v>
      </c>
      <c r="G23" s="2">
        <v>345.0</v>
      </c>
      <c r="H23" s="6">
        <f t="shared" si="2"/>
        <v>4193.01</v>
      </c>
      <c r="I23" s="6">
        <f t="shared" si="3"/>
        <v>1201996.2</v>
      </c>
      <c r="J23" s="68">
        <f t="shared" ref="J23:K23" si="27">D23*1</f>
        <v>430</v>
      </c>
      <c r="K23" s="6">
        <f t="shared" si="27"/>
        <v>6988.35</v>
      </c>
      <c r="L23" s="6">
        <f t="shared" si="5"/>
        <v>4193.01</v>
      </c>
      <c r="M23" s="6">
        <f t="shared" si="6"/>
        <v>3004990.5</v>
      </c>
      <c r="N23" s="6">
        <f t="shared" si="7"/>
        <v>1201996.2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70">
        <v>3027892.0</v>
      </c>
      <c r="G24" s="2">
        <v>405.0</v>
      </c>
      <c r="H24" s="6">
        <f t="shared" si="2"/>
        <v>4110.258</v>
      </c>
      <c r="I24" s="6">
        <f t="shared" si="3"/>
        <v>1211156.024</v>
      </c>
      <c r="J24" s="68">
        <f t="shared" ref="J24:K24" si="28">D24*1</f>
        <v>442</v>
      </c>
      <c r="K24" s="6">
        <f t="shared" si="28"/>
        <v>6850.43</v>
      </c>
      <c r="L24" s="6">
        <f t="shared" si="5"/>
        <v>4110.258</v>
      </c>
      <c r="M24" s="6">
        <f t="shared" si="6"/>
        <v>3027890.06</v>
      </c>
      <c r="N24" s="6">
        <f t="shared" si="7"/>
        <v>1211156.024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70">
        <v>1190816.0</v>
      </c>
      <c r="G25" s="2">
        <v>661.0</v>
      </c>
      <c r="H25" s="6">
        <f t="shared" si="2"/>
        <v>789.492</v>
      </c>
      <c r="I25" s="6">
        <f t="shared" si="3"/>
        <v>476326.84</v>
      </c>
      <c r="J25" s="68">
        <f t="shared" ref="J25:K25" si="29">D25*1</f>
        <v>905</v>
      </c>
      <c r="K25" s="6">
        <f t="shared" si="29"/>
        <v>1315.82</v>
      </c>
      <c r="L25" s="6">
        <f t="shared" si="5"/>
        <v>789.492</v>
      </c>
      <c r="M25" s="6">
        <f t="shared" si="6"/>
        <v>1190817.1</v>
      </c>
      <c r="N25" s="6">
        <f t="shared" si="7"/>
        <v>476326.84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70">
        <v>4830479.0</v>
      </c>
      <c r="G26" s="2">
        <v>206.0</v>
      </c>
      <c r="H26" s="6">
        <f t="shared" si="2"/>
        <v>12711.786</v>
      </c>
      <c r="I26" s="6">
        <f t="shared" si="3"/>
        <v>1932191.472</v>
      </c>
      <c r="J26" s="68">
        <f t="shared" ref="J26:K26" si="30">D26*1</f>
        <v>228</v>
      </c>
      <c r="K26" s="6">
        <f t="shared" si="30"/>
        <v>21186.31</v>
      </c>
      <c r="L26" s="6">
        <f t="shared" si="5"/>
        <v>12711.786</v>
      </c>
      <c r="M26" s="6">
        <f t="shared" si="6"/>
        <v>4830478.68</v>
      </c>
      <c r="N26" s="6">
        <f t="shared" si="7"/>
        <v>1932191.472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70">
        <v>2485595.0</v>
      </c>
      <c r="G27" s="2">
        <v>328.0</v>
      </c>
      <c r="H27" s="6">
        <f t="shared" si="2"/>
        <v>3756.57</v>
      </c>
      <c r="I27" s="6">
        <f t="shared" si="3"/>
        <v>994238.86</v>
      </c>
      <c r="J27" s="68">
        <f t="shared" ref="J27:K27" si="31">D27*1</f>
        <v>397</v>
      </c>
      <c r="K27" s="6">
        <f t="shared" si="31"/>
        <v>6260.95</v>
      </c>
      <c r="L27" s="6">
        <f t="shared" si="5"/>
        <v>3756.57</v>
      </c>
      <c r="M27" s="6">
        <f t="shared" si="6"/>
        <v>2485597.15</v>
      </c>
      <c r="N27" s="6">
        <f t="shared" si="7"/>
        <v>994238.86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70">
        <v>4490359.0</v>
      </c>
      <c r="G28" s="2">
        <v>650.0</v>
      </c>
      <c r="H28" s="6">
        <f t="shared" si="2"/>
        <v>3234.354</v>
      </c>
      <c r="I28" s="6">
        <f t="shared" si="3"/>
        <v>1796144.588</v>
      </c>
      <c r="J28" s="68">
        <f t="shared" ref="J28:K28" si="32">D28*1</f>
        <v>833</v>
      </c>
      <c r="K28" s="6">
        <f t="shared" si="32"/>
        <v>5390.59</v>
      </c>
      <c r="L28" s="6">
        <f t="shared" si="5"/>
        <v>3234.354</v>
      </c>
      <c r="M28" s="6">
        <f t="shared" si="6"/>
        <v>4490361.47</v>
      </c>
      <c r="N28" s="6">
        <f t="shared" si="7"/>
        <v>1796144.588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70">
        <v>605898.0</v>
      </c>
      <c r="G29" s="2">
        <v>366.0</v>
      </c>
      <c r="H29" s="6">
        <f t="shared" si="2"/>
        <v>710.034</v>
      </c>
      <c r="I29" s="6">
        <f t="shared" si="3"/>
        <v>242358.272</v>
      </c>
      <c r="J29" s="68">
        <f t="shared" ref="J29:K29" si="33">D29*1</f>
        <v>512</v>
      </c>
      <c r="K29" s="6">
        <f t="shared" si="33"/>
        <v>1183.39</v>
      </c>
      <c r="L29" s="6">
        <f t="shared" si="5"/>
        <v>710.034</v>
      </c>
      <c r="M29" s="6">
        <f t="shared" si="6"/>
        <v>605895.68</v>
      </c>
      <c r="N29" s="6">
        <f t="shared" si="7"/>
        <v>242358.272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70">
        <v>1189583.0</v>
      </c>
      <c r="G30" s="2">
        <v>669.0</v>
      </c>
      <c r="H30" s="6">
        <f t="shared" si="2"/>
        <v>785.202</v>
      </c>
      <c r="I30" s="6">
        <f t="shared" si="3"/>
        <v>475832.412</v>
      </c>
      <c r="J30" s="68">
        <f t="shared" ref="J30:K30" si="34">D30*1</f>
        <v>909</v>
      </c>
      <c r="K30" s="6">
        <f t="shared" si="34"/>
        <v>1308.67</v>
      </c>
      <c r="L30" s="6">
        <f t="shared" si="5"/>
        <v>785.202</v>
      </c>
      <c r="M30" s="6">
        <f t="shared" si="6"/>
        <v>1189581.03</v>
      </c>
      <c r="N30" s="6">
        <f t="shared" si="7"/>
        <v>475832.412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70">
        <v>2184467.0</v>
      </c>
      <c r="G31" s="2">
        <v>294.0</v>
      </c>
      <c r="H31" s="6">
        <f t="shared" si="2"/>
        <v>4200.9</v>
      </c>
      <c r="I31" s="6">
        <f t="shared" si="3"/>
        <v>873787.2</v>
      </c>
      <c r="J31" s="68">
        <f t="shared" ref="J31:K31" si="35">D31*1</f>
        <v>312</v>
      </c>
      <c r="K31" s="6">
        <f t="shared" si="35"/>
        <v>7001.5</v>
      </c>
      <c r="L31" s="6">
        <f t="shared" si="5"/>
        <v>4200.9</v>
      </c>
      <c r="M31" s="6">
        <f t="shared" si="6"/>
        <v>2184468</v>
      </c>
      <c r="N31" s="6">
        <f t="shared" si="7"/>
        <v>873787.2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70">
        <v>4603443.0</v>
      </c>
      <c r="G32" s="2">
        <v>686.0</v>
      </c>
      <c r="H32" s="6">
        <f t="shared" si="2"/>
        <v>3352.02</v>
      </c>
      <c r="I32" s="6">
        <f t="shared" si="3"/>
        <v>1841376.32</v>
      </c>
      <c r="J32" s="68">
        <f t="shared" ref="J32:K32" si="36">D32*1</f>
        <v>824</v>
      </c>
      <c r="K32" s="6">
        <f t="shared" si="36"/>
        <v>5586.7</v>
      </c>
      <c r="L32" s="6">
        <f t="shared" si="5"/>
        <v>3352.02</v>
      </c>
      <c r="M32" s="6">
        <f t="shared" si="6"/>
        <v>4603440.8</v>
      </c>
      <c r="N32" s="6">
        <f t="shared" si="7"/>
        <v>1841376.32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70">
        <v>844050.0</v>
      </c>
      <c r="G33" s="2">
        <v>560.0</v>
      </c>
      <c r="H33" s="6">
        <f t="shared" si="2"/>
        <v>783.948</v>
      </c>
      <c r="I33" s="6">
        <f t="shared" si="3"/>
        <v>337620.272</v>
      </c>
      <c r="J33" s="68">
        <f t="shared" ref="J33:K33" si="37">D33*1</f>
        <v>646</v>
      </c>
      <c r="K33" s="6">
        <f t="shared" si="37"/>
        <v>1306.58</v>
      </c>
      <c r="L33" s="6">
        <f t="shared" si="5"/>
        <v>783.948</v>
      </c>
      <c r="M33" s="6">
        <f t="shared" si="6"/>
        <v>844050.68</v>
      </c>
      <c r="N33" s="6">
        <f t="shared" si="7"/>
        <v>337620.272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70">
        <v>4983439.0</v>
      </c>
      <c r="G34" s="2">
        <v>766.0</v>
      </c>
      <c r="H34" s="6">
        <f t="shared" si="2"/>
        <v>3348.336</v>
      </c>
      <c r="I34" s="6">
        <f t="shared" si="3"/>
        <v>1993376.032</v>
      </c>
      <c r="J34" s="68">
        <f t="shared" ref="J34:K34" si="38">D34*1</f>
        <v>893</v>
      </c>
      <c r="K34" s="6">
        <f t="shared" si="38"/>
        <v>5580.56</v>
      </c>
      <c r="L34" s="6">
        <f t="shared" si="5"/>
        <v>3348.336</v>
      </c>
      <c r="M34" s="6">
        <f t="shared" si="6"/>
        <v>4983440.08</v>
      </c>
      <c r="N34" s="6">
        <f t="shared" si="7"/>
        <v>1993376.032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70">
        <v>621052.0</v>
      </c>
      <c r="G35" s="2">
        <v>437.0</v>
      </c>
      <c r="H35" s="6">
        <f t="shared" si="2"/>
        <v>635.886</v>
      </c>
      <c r="I35" s="6">
        <f t="shared" si="3"/>
        <v>248419.464</v>
      </c>
      <c r="J35" s="68">
        <f t="shared" ref="J35:K35" si="39">D35*1</f>
        <v>586</v>
      </c>
      <c r="K35" s="6">
        <f t="shared" si="39"/>
        <v>1059.81</v>
      </c>
      <c r="L35" s="6">
        <f t="shared" si="5"/>
        <v>635.886</v>
      </c>
      <c r="M35" s="6">
        <f t="shared" si="6"/>
        <v>621048.66</v>
      </c>
      <c r="N35" s="6">
        <f t="shared" si="7"/>
        <v>248419.464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70">
        <v>1033578.0</v>
      </c>
      <c r="G36" s="2">
        <v>631.0</v>
      </c>
      <c r="H36" s="6">
        <f t="shared" si="2"/>
        <v>773.25</v>
      </c>
      <c r="I36" s="6">
        <f t="shared" si="3"/>
        <v>413431</v>
      </c>
      <c r="J36" s="68">
        <f t="shared" ref="J36:K36" si="40">D36*1</f>
        <v>802</v>
      </c>
      <c r="K36" s="6">
        <f t="shared" si="40"/>
        <v>1288.75</v>
      </c>
      <c r="L36" s="6">
        <f t="shared" si="5"/>
        <v>773.25</v>
      </c>
      <c r="M36" s="6">
        <f t="shared" si="6"/>
        <v>1033577.5</v>
      </c>
      <c r="N36" s="6">
        <f t="shared" si="7"/>
        <v>413431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70">
        <v>6234261.0</v>
      </c>
      <c r="G37" s="2">
        <v>1074.0</v>
      </c>
      <c r="H37" s="6">
        <f t="shared" si="2"/>
        <v>3252.66</v>
      </c>
      <c r="I37" s="6">
        <f t="shared" si="3"/>
        <v>2493706</v>
      </c>
      <c r="J37" s="68">
        <f t="shared" ref="J37:K37" si="41">D37*1</f>
        <v>1150</v>
      </c>
      <c r="K37" s="6">
        <f t="shared" si="41"/>
        <v>5421.1</v>
      </c>
      <c r="L37" s="6">
        <f t="shared" si="5"/>
        <v>3252.66</v>
      </c>
      <c r="M37" s="6">
        <f t="shared" si="6"/>
        <v>6234265</v>
      </c>
      <c r="N37" s="6">
        <f t="shared" si="7"/>
        <v>2493706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70">
        <v>1064333.0</v>
      </c>
      <c r="G38" s="2">
        <v>762.0</v>
      </c>
      <c r="H38" s="6">
        <f t="shared" si="2"/>
        <v>732.342</v>
      </c>
      <c r="I38" s="6">
        <f t="shared" si="3"/>
        <v>425734.816</v>
      </c>
      <c r="J38" s="68">
        <f t="shared" ref="J38:K38" si="42">D38*1</f>
        <v>872</v>
      </c>
      <c r="K38" s="6">
        <f t="shared" si="42"/>
        <v>1220.57</v>
      </c>
      <c r="L38" s="6">
        <f t="shared" si="5"/>
        <v>732.342</v>
      </c>
      <c r="M38" s="6">
        <f t="shared" si="6"/>
        <v>1064337.04</v>
      </c>
      <c r="N38" s="6">
        <f t="shared" si="7"/>
        <v>425734.816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70">
        <v>786460.0</v>
      </c>
      <c r="G39" s="2">
        <v>704.0</v>
      </c>
      <c r="H39" s="6">
        <f t="shared" si="2"/>
        <v>633.39</v>
      </c>
      <c r="I39" s="6">
        <f t="shared" si="3"/>
        <v>314583.7</v>
      </c>
      <c r="J39" s="68">
        <f t="shared" ref="J39:K39" si="43">D39*1</f>
        <v>745</v>
      </c>
      <c r="K39" s="6">
        <f t="shared" si="43"/>
        <v>1055.65</v>
      </c>
      <c r="L39" s="6">
        <f t="shared" si="5"/>
        <v>633.39</v>
      </c>
      <c r="M39" s="6">
        <f t="shared" si="6"/>
        <v>786459.25</v>
      </c>
      <c r="N39" s="6">
        <f t="shared" si="7"/>
        <v>314583.7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70">
        <v>3305558.0</v>
      </c>
      <c r="G40" s="2">
        <v>449.0</v>
      </c>
      <c r="H40" s="6">
        <f t="shared" si="2"/>
        <v>3300.06</v>
      </c>
      <c r="I40" s="6">
        <f t="shared" si="3"/>
        <v>1322224.04</v>
      </c>
      <c r="J40" s="68">
        <f t="shared" ref="J40:K40" si="44">D40*1</f>
        <v>601</v>
      </c>
      <c r="K40" s="6">
        <f t="shared" si="44"/>
        <v>5500.1</v>
      </c>
      <c r="L40" s="6">
        <f t="shared" si="5"/>
        <v>3300.06</v>
      </c>
      <c r="M40" s="6">
        <f t="shared" si="6"/>
        <v>3305560.1</v>
      </c>
      <c r="N40" s="6">
        <f t="shared" si="7"/>
        <v>1322224.04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70">
        <v>2745511.0</v>
      </c>
      <c r="G41" s="2">
        <v>376.0</v>
      </c>
      <c r="H41" s="6">
        <f t="shared" si="2"/>
        <v>4047.438</v>
      </c>
      <c r="I41" s="6">
        <f t="shared" si="3"/>
        <v>1098204.844</v>
      </c>
      <c r="J41" s="68">
        <f t="shared" ref="J41:K41" si="45">D41*1</f>
        <v>407</v>
      </c>
      <c r="K41" s="6">
        <f t="shared" si="45"/>
        <v>6745.73</v>
      </c>
      <c r="L41" s="6">
        <f t="shared" si="5"/>
        <v>4047.438</v>
      </c>
      <c r="M41" s="6">
        <f t="shared" si="6"/>
        <v>2745512.11</v>
      </c>
      <c r="N41" s="6">
        <f t="shared" si="7"/>
        <v>1098204.844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70">
        <v>1213501.0</v>
      </c>
      <c r="G42" s="2">
        <v>793.0</v>
      </c>
      <c r="H42" s="6">
        <f t="shared" si="2"/>
        <v>679.2</v>
      </c>
      <c r="I42" s="6">
        <f t="shared" si="3"/>
        <v>485401.6</v>
      </c>
      <c r="J42" s="68">
        <f t="shared" ref="J42:K42" si="46">D42*1</f>
        <v>1072</v>
      </c>
      <c r="K42" s="6">
        <f t="shared" si="46"/>
        <v>1132</v>
      </c>
      <c r="L42" s="6">
        <f t="shared" si="5"/>
        <v>679.2</v>
      </c>
      <c r="M42" s="6">
        <f t="shared" si="6"/>
        <v>1213504</v>
      </c>
      <c r="N42" s="6">
        <f t="shared" si="7"/>
        <v>485401.6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70">
        <v>798766.0</v>
      </c>
      <c r="G43" s="2">
        <v>458.0</v>
      </c>
      <c r="H43" s="6">
        <f t="shared" si="2"/>
        <v>733.938</v>
      </c>
      <c r="I43" s="6">
        <f t="shared" si="3"/>
        <v>319507.676</v>
      </c>
      <c r="J43" s="68">
        <f t="shared" ref="J43:K43" si="47">D43*1</f>
        <v>653</v>
      </c>
      <c r="K43" s="6">
        <f t="shared" si="47"/>
        <v>1223.23</v>
      </c>
      <c r="L43" s="6">
        <f t="shared" si="5"/>
        <v>733.938</v>
      </c>
      <c r="M43" s="6">
        <f t="shared" si="6"/>
        <v>798769.19</v>
      </c>
      <c r="N43" s="6">
        <f t="shared" si="7"/>
        <v>319507.676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70">
        <v>4426490.0</v>
      </c>
      <c r="G44" s="2">
        <v>888.0</v>
      </c>
      <c r="H44" s="6">
        <f t="shared" si="2"/>
        <v>2834.466</v>
      </c>
      <c r="I44" s="6">
        <f t="shared" si="3"/>
        <v>1770596.428</v>
      </c>
      <c r="J44" s="68">
        <f t="shared" ref="J44:K44" si="48">D44*1</f>
        <v>937</v>
      </c>
      <c r="K44" s="6">
        <f t="shared" si="48"/>
        <v>4724.11</v>
      </c>
      <c r="L44" s="6">
        <f t="shared" si="5"/>
        <v>2834.466</v>
      </c>
      <c r="M44" s="6">
        <f t="shared" si="6"/>
        <v>4426491.07</v>
      </c>
      <c r="N44" s="6">
        <f t="shared" si="7"/>
        <v>1770596.428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70">
        <v>892387.0</v>
      </c>
      <c r="G45" s="2">
        <v>622.0</v>
      </c>
      <c r="H45" s="6">
        <f t="shared" si="2"/>
        <v>671.808</v>
      </c>
      <c r="I45" s="6">
        <f t="shared" si="3"/>
        <v>356953.984</v>
      </c>
      <c r="J45" s="68">
        <f t="shared" ref="J45:K45" si="49">D45*1</f>
        <v>797</v>
      </c>
      <c r="K45" s="6">
        <f t="shared" si="49"/>
        <v>1119.68</v>
      </c>
      <c r="L45" s="6">
        <f t="shared" si="5"/>
        <v>671.808</v>
      </c>
      <c r="M45" s="6">
        <f t="shared" si="6"/>
        <v>892384.96</v>
      </c>
      <c r="N45" s="6">
        <f t="shared" si="7"/>
        <v>356953.984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70">
        <v>982777.0</v>
      </c>
      <c r="G46" s="2">
        <v>666.0</v>
      </c>
      <c r="H46" s="6">
        <f t="shared" si="2"/>
        <v>745.47</v>
      </c>
      <c r="I46" s="6">
        <f t="shared" si="3"/>
        <v>393111.18</v>
      </c>
      <c r="J46" s="68">
        <f t="shared" ref="J46:K46" si="50">D46*1</f>
        <v>791</v>
      </c>
      <c r="K46" s="6">
        <f t="shared" si="50"/>
        <v>1242.45</v>
      </c>
      <c r="L46" s="6">
        <f t="shared" si="5"/>
        <v>745.47</v>
      </c>
      <c r="M46" s="6">
        <f t="shared" si="6"/>
        <v>982777.95</v>
      </c>
      <c r="N46" s="6">
        <f t="shared" si="7"/>
        <v>393111.18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70">
        <v>1543058.0</v>
      </c>
      <c r="G47" s="2">
        <v>168.0</v>
      </c>
      <c r="H47" s="6">
        <f t="shared" si="2"/>
        <v>4189.296</v>
      </c>
      <c r="I47" s="6">
        <f t="shared" si="3"/>
        <v>617222.944</v>
      </c>
      <c r="J47" s="68">
        <f t="shared" ref="J47:K47" si="51">D47*1</f>
        <v>221</v>
      </c>
      <c r="K47" s="6">
        <f t="shared" si="51"/>
        <v>6982.16</v>
      </c>
      <c r="L47" s="6">
        <f t="shared" si="5"/>
        <v>4189.296</v>
      </c>
      <c r="M47" s="6">
        <f t="shared" si="6"/>
        <v>1543057.36</v>
      </c>
      <c r="N47" s="6">
        <f t="shared" si="7"/>
        <v>617222.944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70">
        <v>6222903.0</v>
      </c>
      <c r="G48" s="2">
        <v>1044.0</v>
      </c>
      <c r="H48" s="6">
        <f t="shared" si="2"/>
        <v>3213.204</v>
      </c>
      <c r="I48" s="6">
        <f t="shared" si="3"/>
        <v>2489162.032</v>
      </c>
      <c r="J48" s="68">
        <f t="shared" ref="J48:K48" si="52">D48*1</f>
        <v>1162</v>
      </c>
      <c r="K48" s="6">
        <f t="shared" si="52"/>
        <v>5355.34</v>
      </c>
      <c r="L48" s="6">
        <f t="shared" si="5"/>
        <v>3213.204</v>
      </c>
      <c r="M48" s="6">
        <f t="shared" si="6"/>
        <v>6222905.08</v>
      </c>
      <c r="N48" s="6">
        <f t="shared" si="7"/>
        <v>2489162.032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70">
        <v>2404062.0</v>
      </c>
      <c r="G49" s="2">
        <v>291.0</v>
      </c>
      <c r="H49" s="6">
        <f t="shared" si="2"/>
        <v>4168.89</v>
      </c>
      <c r="I49" s="6">
        <f t="shared" si="3"/>
        <v>961623.96</v>
      </c>
      <c r="J49" s="68">
        <f t="shared" ref="J49:K49" si="53">D49*1</f>
        <v>346</v>
      </c>
      <c r="K49" s="6">
        <f t="shared" si="53"/>
        <v>6948.15</v>
      </c>
      <c r="L49" s="6">
        <f t="shared" si="5"/>
        <v>4168.89</v>
      </c>
      <c r="M49" s="6">
        <f t="shared" si="6"/>
        <v>2404059.9</v>
      </c>
      <c r="N49" s="6">
        <f t="shared" si="7"/>
        <v>961623.96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70">
        <v>632417.0</v>
      </c>
      <c r="G50" s="2">
        <v>570.0</v>
      </c>
      <c r="H50" s="6">
        <f t="shared" si="2"/>
        <v>613.002</v>
      </c>
      <c r="I50" s="6">
        <f t="shared" si="3"/>
        <v>252965.492</v>
      </c>
      <c r="J50" s="68">
        <f t="shared" ref="J50:K50" si="54">D50*1</f>
        <v>619</v>
      </c>
      <c r="K50" s="6">
        <f t="shared" si="54"/>
        <v>1021.67</v>
      </c>
      <c r="L50" s="6">
        <f t="shared" si="5"/>
        <v>613.002</v>
      </c>
      <c r="M50" s="6">
        <f t="shared" si="6"/>
        <v>632413.73</v>
      </c>
      <c r="N50" s="6">
        <f t="shared" si="7"/>
        <v>252965.492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70">
        <v>879414.0</v>
      </c>
      <c r="G51" s="2">
        <v>603.0</v>
      </c>
      <c r="H51" s="6">
        <f t="shared" si="2"/>
        <v>705.414</v>
      </c>
      <c r="I51" s="6">
        <f t="shared" si="3"/>
        <v>351766.448</v>
      </c>
      <c r="J51" s="68">
        <f t="shared" ref="J51:K51" si="55">D51*1</f>
        <v>748</v>
      </c>
      <c r="K51" s="6">
        <f t="shared" si="55"/>
        <v>1175.69</v>
      </c>
      <c r="L51" s="6">
        <f t="shared" si="5"/>
        <v>705.414</v>
      </c>
      <c r="M51" s="6">
        <f t="shared" si="6"/>
        <v>879416.12</v>
      </c>
      <c r="N51" s="6">
        <f t="shared" si="7"/>
        <v>351766.448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70">
        <v>574390.0</v>
      </c>
      <c r="G52" s="2">
        <v>470.0</v>
      </c>
      <c r="H52" s="6">
        <f t="shared" si="2"/>
        <v>669.192</v>
      </c>
      <c r="I52" s="6">
        <f t="shared" si="3"/>
        <v>229755.92</v>
      </c>
      <c r="J52" s="68">
        <f t="shared" ref="J52:K52" si="56">D52*1</f>
        <v>515</v>
      </c>
      <c r="K52" s="6">
        <f t="shared" si="56"/>
        <v>1115.32</v>
      </c>
      <c r="L52" s="6">
        <f t="shared" si="5"/>
        <v>669.192</v>
      </c>
      <c r="M52" s="6">
        <f t="shared" si="6"/>
        <v>574389.8</v>
      </c>
      <c r="N52" s="6">
        <f t="shared" si="7"/>
        <v>229755.92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70">
        <v>5821541.0</v>
      </c>
      <c r="G53" s="2">
        <v>1018.0</v>
      </c>
      <c r="H53" s="6">
        <f t="shared" si="2"/>
        <v>2998.218</v>
      </c>
      <c r="I53" s="6">
        <f t="shared" si="3"/>
        <v>2328615.98</v>
      </c>
      <c r="J53" s="68">
        <f t="shared" ref="J53:K53" si="57">D53*1</f>
        <v>1165</v>
      </c>
      <c r="K53" s="6">
        <f t="shared" si="57"/>
        <v>4997.03</v>
      </c>
      <c r="L53" s="6">
        <f t="shared" si="5"/>
        <v>2998.218</v>
      </c>
      <c r="M53" s="6">
        <f t="shared" si="6"/>
        <v>5821539.95</v>
      </c>
      <c r="N53" s="6">
        <f t="shared" si="7"/>
        <v>2328615.98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70">
        <v>2696219.0</v>
      </c>
      <c r="G54" s="2">
        <v>100.0</v>
      </c>
      <c r="H54" s="6">
        <f t="shared" si="2"/>
        <v>12349.092</v>
      </c>
      <c r="I54" s="6">
        <f t="shared" si="3"/>
        <v>1078487.368</v>
      </c>
      <c r="J54" s="68">
        <f t="shared" ref="J54:K54" si="58">D54*1</f>
        <v>131</v>
      </c>
      <c r="K54" s="6">
        <f t="shared" si="58"/>
        <v>20581.82</v>
      </c>
      <c r="L54" s="6">
        <f t="shared" si="5"/>
        <v>12349.092</v>
      </c>
      <c r="M54" s="6">
        <f t="shared" si="6"/>
        <v>2696218.42</v>
      </c>
      <c r="N54" s="6">
        <f t="shared" si="7"/>
        <v>1078487.368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70">
        <v>2622955.0</v>
      </c>
      <c r="G55" s="2">
        <v>105.0</v>
      </c>
      <c r="H55" s="6">
        <f t="shared" si="2"/>
        <v>13567.008</v>
      </c>
      <c r="I55" s="6">
        <f t="shared" si="3"/>
        <v>1049181.952</v>
      </c>
      <c r="J55" s="68">
        <f t="shared" ref="J55:K55" si="59">D55*1</f>
        <v>116</v>
      </c>
      <c r="K55" s="6">
        <f t="shared" si="59"/>
        <v>22611.68</v>
      </c>
      <c r="L55" s="6">
        <f t="shared" si="5"/>
        <v>13567.008</v>
      </c>
      <c r="M55" s="6">
        <f t="shared" si="6"/>
        <v>2622954.88</v>
      </c>
      <c r="N55" s="6">
        <f t="shared" si="7"/>
        <v>1049181.952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70">
        <v>3066925.0</v>
      </c>
      <c r="G56" s="2">
        <v>124.0</v>
      </c>
      <c r="H56" s="6">
        <f t="shared" si="2"/>
        <v>13334.46</v>
      </c>
      <c r="I56" s="6">
        <f t="shared" si="3"/>
        <v>1226770.32</v>
      </c>
      <c r="J56" s="68">
        <f t="shared" ref="J56:K56" si="60">D56*1</f>
        <v>138</v>
      </c>
      <c r="K56" s="6">
        <f t="shared" si="60"/>
        <v>22224.1</v>
      </c>
      <c r="L56" s="6">
        <f t="shared" si="5"/>
        <v>13334.46</v>
      </c>
      <c r="M56" s="6">
        <f t="shared" si="6"/>
        <v>3066925.8</v>
      </c>
      <c r="N56" s="6">
        <f t="shared" si="7"/>
        <v>1226770.32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70">
        <v>5723037.0</v>
      </c>
      <c r="G57" s="2">
        <v>774.0</v>
      </c>
      <c r="H57" s="6">
        <f t="shared" si="2"/>
        <v>3107.532</v>
      </c>
      <c r="I57" s="6">
        <f t="shared" si="3"/>
        <v>2289215.24</v>
      </c>
      <c r="J57" s="68">
        <f t="shared" ref="J57:K57" si="61">D57*1</f>
        <v>1105</v>
      </c>
      <c r="K57" s="6">
        <f t="shared" si="61"/>
        <v>5179.22</v>
      </c>
      <c r="L57" s="6">
        <f t="shared" si="5"/>
        <v>3107.532</v>
      </c>
      <c r="M57" s="6">
        <f t="shared" si="6"/>
        <v>5723038.1</v>
      </c>
      <c r="N57" s="6">
        <f t="shared" si="7"/>
        <v>2289215.24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70">
        <v>5764769.0</v>
      </c>
      <c r="G58" s="2">
        <v>1023.0</v>
      </c>
      <c r="H58" s="6">
        <f t="shared" si="2"/>
        <v>3113.286</v>
      </c>
      <c r="I58" s="6">
        <f t="shared" si="3"/>
        <v>2305907.164</v>
      </c>
      <c r="J58" s="68">
        <f t="shared" ref="J58:K58" si="62">D58*1</f>
        <v>1111</v>
      </c>
      <c r="K58" s="6">
        <f t="shared" si="62"/>
        <v>5188.81</v>
      </c>
      <c r="L58" s="6">
        <f t="shared" si="5"/>
        <v>3113.286</v>
      </c>
      <c r="M58" s="6">
        <f t="shared" si="6"/>
        <v>5764767.91</v>
      </c>
      <c r="N58" s="6">
        <f t="shared" si="7"/>
        <v>2305907.164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70">
        <v>1336817.0</v>
      </c>
      <c r="G59" s="2">
        <v>977.0</v>
      </c>
      <c r="H59" s="6">
        <f t="shared" si="2"/>
        <v>712.338</v>
      </c>
      <c r="I59" s="6">
        <f t="shared" si="3"/>
        <v>534728.392</v>
      </c>
      <c r="J59" s="68">
        <f t="shared" ref="J59:K59" si="63">D59*1</f>
        <v>1126</v>
      </c>
      <c r="K59" s="6">
        <f t="shared" si="63"/>
        <v>1187.23</v>
      </c>
      <c r="L59" s="6">
        <f t="shared" si="5"/>
        <v>712.338</v>
      </c>
      <c r="M59" s="6">
        <f t="shared" si="6"/>
        <v>1336820.98</v>
      </c>
      <c r="N59" s="6">
        <f t="shared" si="7"/>
        <v>534728.392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70">
        <v>3429506.0</v>
      </c>
      <c r="G60" s="2">
        <v>114.0</v>
      </c>
      <c r="H60" s="6">
        <f t="shared" si="2"/>
        <v>12701.874</v>
      </c>
      <c r="I60" s="6">
        <f t="shared" si="3"/>
        <v>1371802.392</v>
      </c>
      <c r="J60" s="68">
        <f t="shared" ref="J60:K60" si="64">D60*1</f>
        <v>162</v>
      </c>
      <c r="K60" s="6">
        <f t="shared" si="64"/>
        <v>21169.79</v>
      </c>
      <c r="L60" s="6">
        <f t="shared" si="5"/>
        <v>12701.874</v>
      </c>
      <c r="M60" s="6">
        <f t="shared" si="6"/>
        <v>3429505.98</v>
      </c>
      <c r="N60" s="6">
        <f t="shared" si="7"/>
        <v>1371802.392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70">
        <v>1274679.0</v>
      </c>
      <c r="G61" s="2">
        <v>840.0</v>
      </c>
      <c r="H61" s="6">
        <f t="shared" si="2"/>
        <v>755.736</v>
      </c>
      <c r="I61" s="6">
        <f t="shared" si="3"/>
        <v>509869.888</v>
      </c>
      <c r="J61" s="68">
        <f t="shared" ref="J61:K61" si="65">D61*1</f>
        <v>1012</v>
      </c>
      <c r="K61" s="6">
        <f t="shared" si="65"/>
        <v>1259.56</v>
      </c>
      <c r="L61" s="6">
        <f t="shared" si="5"/>
        <v>755.736</v>
      </c>
      <c r="M61" s="6">
        <f t="shared" si="6"/>
        <v>1274674.72</v>
      </c>
      <c r="N61" s="6">
        <f t="shared" si="7"/>
        <v>509869.888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70">
        <v>1148376.0</v>
      </c>
      <c r="G62" s="2">
        <v>726.0</v>
      </c>
      <c r="H62" s="6">
        <f t="shared" si="2"/>
        <v>676.176</v>
      </c>
      <c r="I62" s="6">
        <f t="shared" si="3"/>
        <v>459348.896</v>
      </c>
      <c r="J62" s="68">
        <f t="shared" ref="J62:K62" si="66">D62*1</f>
        <v>1019</v>
      </c>
      <c r="K62" s="6">
        <f t="shared" si="66"/>
        <v>1126.96</v>
      </c>
      <c r="L62" s="6">
        <f t="shared" si="5"/>
        <v>676.176</v>
      </c>
      <c r="M62" s="6">
        <f t="shared" si="6"/>
        <v>1148372.24</v>
      </c>
      <c r="N62" s="6">
        <f t="shared" si="7"/>
        <v>459348.896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70">
        <v>2320374.0</v>
      </c>
      <c r="G63" s="2">
        <v>323.0</v>
      </c>
      <c r="H63" s="6">
        <f t="shared" si="2"/>
        <v>4058.964</v>
      </c>
      <c r="I63" s="6">
        <f t="shared" si="3"/>
        <v>928149.768</v>
      </c>
      <c r="J63" s="68">
        <f t="shared" ref="J63:K63" si="67">D63*1</f>
        <v>343</v>
      </c>
      <c r="K63" s="6">
        <f t="shared" si="67"/>
        <v>6764.94</v>
      </c>
      <c r="L63" s="6">
        <f t="shared" si="5"/>
        <v>4058.964</v>
      </c>
      <c r="M63" s="6">
        <f t="shared" si="6"/>
        <v>2320374.42</v>
      </c>
      <c r="N63" s="6">
        <f t="shared" si="7"/>
        <v>928149.768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70">
        <v>3746781.0</v>
      </c>
      <c r="G64" s="2">
        <v>517.0</v>
      </c>
      <c r="H64" s="6">
        <f t="shared" si="2"/>
        <v>3126.66</v>
      </c>
      <c r="I64" s="6">
        <f t="shared" si="3"/>
        <v>1498712.36</v>
      </c>
      <c r="J64" s="68">
        <f t="shared" ref="J64:K64" si="68">D64*1</f>
        <v>719</v>
      </c>
      <c r="K64" s="6">
        <f t="shared" si="68"/>
        <v>5211.1</v>
      </c>
      <c r="L64" s="6">
        <f t="shared" si="5"/>
        <v>3126.66</v>
      </c>
      <c r="M64" s="6">
        <f t="shared" si="6"/>
        <v>3746780.9</v>
      </c>
      <c r="N64" s="6">
        <f t="shared" si="7"/>
        <v>1498712.36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70">
        <v>3605442.0</v>
      </c>
      <c r="G65" s="2">
        <v>634.0</v>
      </c>
      <c r="H65" s="6">
        <f t="shared" si="2"/>
        <v>2979.702</v>
      </c>
      <c r="I65" s="6">
        <f t="shared" si="3"/>
        <v>1442175.768</v>
      </c>
      <c r="J65" s="68">
        <f t="shared" ref="J65:K65" si="69">D65*1</f>
        <v>726</v>
      </c>
      <c r="K65" s="6">
        <f t="shared" si="69"/>
        <v>4966.17</v>
      </c>
      <c r="L65" s="6">
        <f t="shared" si="5"/>
        <v>2979.702</v>
      </c>
      <c r="M65" s="6">
        <f t="shared" si="6"/>
        <v>3605439.42</v>
      </c>
      <c r="N65" s="6">
        <f t="shared" si="7"/>
        <v>1442175.768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70">
        <v>4667530.0</v>
      </c>
      <c r="G66" s="2">
        <v>185.0</v>
      </c>
      <c r="H66" s="6">
        <f t="shared" si="2"/>
        <v>12672.024</v>
      </c>
      <c r="I66" s="6">
        <f t="shared" si="3"/>
        <v>1867011.536</v>
      </c>
      <c r="J66" s="68">
        <f t="shared" ref="J66:K66" si="70">D66*1</f>
        <v>221</v>
      </c>
      <c r="K66" s="6">
        <f t="shared" si="70"/>
        <v>21120.04</v>
      </c>
      <c r="L66" s="6">
        <f t="shared" si="5"/>
        <v>12672.024</v>
      </c>
      <c r="M66" s="6">
        <f t="shared" si="6"/>
        <v>4667528.84</v>
      </c>
      <c r="N66" s="6">
        <f t="shared" si="7"/>
        <v>1867011.536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70">
        <v>4502490.0</v>
      </c>
      <c r="G67" s="2">
        <v>722.0</v>
      </c>
      <c r="H67" s="6">
        <f t="shared" si="2"/>
        <v>3101.598</v>
      </c>
      <c r="I67" s="6">
        <f t="shared" si="3"/>
        <v>1800994.572</v>
      </c>
      <c r="J67" s="68">
        <f t="shared" ref="J67:K67" si="71">D67*1</f>
        <v>871</v>
      </c>
      <c r="K67" s="6">
        <f t="shared" si="71"/>
        <v>5169.33</v>
      </c>
      <c r="L67" s="6">
        <f t="shared" si="5"/>
        <v>3101.598</v>
      </c>
      <c r="M67" s="6">
        <f t="shared" si="6"/>
        <v>4502486.43</v>
      </c>
      <c r="N67" s="6">
        <f t="shared" si="7"/>
        <v>1800994.572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70">
        <v>4498447.0</v>
      </c>
      <c r="G68" s="2">
        <v>625.0</v>
      </c>
      <c r="H68" s="6">
        <f t="shared" si="2"/>
        <v>3190.386</v>
      </c>
      <c r="I68" s="6">
        <f t="shared" si="3"/>
        <v>1799377.704</v>
      </c>
      <c r="J68" s="68">
        <f t="shared" ref="J68:K68" si="72">D68*1</f>
        <v>846</v>
      </c>
      <c r="K68" s="6">
        <f t="shared" si="72"/>
        <v>5317.31</v>
      </c>
      <c r="L68" s="6">
        <f t="shared" si="5"/>
        <v>3190.386</v>
      </c>
      <c r="M68" s="6">
        <f t="shared" si="6"/>
        <v>4498444.26</v>
      </c>
      <c r="N68" s="6">
        <f t="shared" si="7"/>
        <v>1799377.704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70">
        <v>4243586.0</v>
      </c>
      <c r="G69" s="2">
        <v>582.0</v>
      </c>
      <c r="H69" s="6">
        <f t="shared" si="2"/>
        <v>3108.852</v>
      </c>
      <c r="I69" s="6">
        <f t="shared" si="3"/>
        <v>1697433.192</v>
      </c>
      <c r="J69" s="68">
        <f t="shared" ref="J69:K69" si="73">D69*1</f>
        <v>819</v>
      </c>
      <c r="K69" s="6">
        <f t="shared" si="73"/>
        <v>5181.42</v>
      </c>
      <c r="L69" s="6">
        <f t="shared" si="5"/>
        <v>3108.852</v>
      </c>
      <c r="M69" s="6">
        <f t="shared" si="6"/>
        <v>4243582.98</v>
      </c>
      <c r="N69" s="6">
        <f t="shared" si="7"/>
        <v>1697433.192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70">
        <v>4167690.0</v>
      </c>
      <c r="G70" s="2">
        <v>655.0</v>
      </c>
      <c r="H70" s="6">
        <f t="shared" si="2"/>
        <v>3114.09</v>
      </c>
      <c r="I70" s="6">
        <f t="shared" si="3"/>
        <v>1667076.18</v>
      </c>
      <c r="J70" s="68">
        <f t="shared" ref="J70:K70" si="74">D70*1</f>
        <v>803</v>
      </c>
      <c r="K70" s="6">
        <f t="shared" si="74"/>
        <v>5190.15</v>
      </c>
      <c r="L70" s="6">
        <f t="shared" si="5"/>
        <v>3114.09</v>
      </c>
      <c r="M70" s="6">
        <f t="shared" si="6"/>
        <v>4167690.45</v>
      </c>
      <c r="N70" s="6">
        <f t="shared" si="7"/>
        <v>1667076.18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70">
        <v>2439141.0</v>
      </c>
      <c r="G71" s="2">
        <v>102.0</v>
      </c>
      <c r="H71" s="6">
        <f t="shared" si="2"/>
        <v>13426.464</v>
      </c>
      <c r="I71" s="6">
        <f t="shared" si="3"/>
        <v>975656.384</v>
      </c>
      <c r="J71" s="68">
        <f t="shared" ref="J71:K71" si="75">D71*1</f>
        <v>109</v>
      </c>
      <c r="K71" s="6">
        <f t="shared" si="75"/>
        <v>22377.44</v>
      </c>
      <c r="L71" s="6">
        <f t="shared" si="5"/>
        <v>13426.464</v>
      </c>
      <c r="M71" s="6">
        <f t="shared" si="6"/>
        <v>2439140.96</v>
      </c>
      <c r="N71" s="6">
        <f t="shared" si="7"/>
        <v>975656.384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70">
        <v>944633.0</v>
      </c>
      <c r="G72" s="2">
        <v>541.0</v>
      </c>
      <c r="H72" s="6">
        <f t="shared" si="2"/>
        <v>911.22</v>
      </c>
      <c r="I72" s="6">
        <f t="shared" si="3"/>
        <v>377852.56</v>
      </c>
      <c r="J72" s="68">
        <f t="shared" ref="J72:K72" si="76">D72*1</f>
        <v>622</v>
      </c>
      <c r="K72" s="6">
        <f t="shared" si="76"/>
        <v>1518.7</v>
      </c>
      <c r="L72" s="6">
        <f t="shared" si="5"/>
        <v>911.22</v>
      </c>
      <c r="M72" s="6">
        <f t="shared" si="6"/>
        <v>944631.4</v>
      </c>
      <c r="N72" s="6">
        <f t="shared" si="7"/>
        <v>377852.56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70">
        <v>4895784.0</v>
      </c>
      <c r="G73" s="2">
        <v>195.0</v>
      </c>
      <c r="H73" s="6">
        <f t="shared" si="2"/>
        <v>12940.398</v>
      </c>
      <c r="I73" s="6">
        <f t="shared" si="3"/>
        <v>1958313.564</v>
      </c>
      <c r="J73" s="68">
        <f t="shared" ref="J73:K73" si="77">D73*1</f>
        <v>227</v>
      </c>
      <c r="K73" s="6">
        <f t="shared" si="77"/>
        <v>21567.33</v>
      </c>
      <c r="L73" s="6">
        <f t="shared" si="5"/>
        <v>12940.398</v>
      </c>
      <c r="M73" s="6">
        <f t="shared" si="6"/>
        <v>4895783.91</v>
      </c>
      <c r="N73" s="6">
        <f t="shared" si="7"/>
        <v>1958313.564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70">
        <v>1194154.0</v>
      </c>
      <c r="G74" s="2">
        <v>983.0</v>
      </c>
      <c r="H74" s="6">
        <f t="shared" si="2"/>
        <v>657.936</v>
      </c>
      <c r="I74" s="6">
        <f t="shared" si="3"/>
        <v>477661.536</v>
      </c>
      <c r="J74" s="68">
        <f t="shared" ref="J74:K74" si="78">D74*1</f>
        <v>1089</v>
      </c>
      <c r="K74" s="6">
        <f t="shared" si="78"/>
        <v>1096.56</v>
      </c>
      <c r="L74" s="6">
        <f t="shared" si="5"/>
        <v>657.936</v>
      </c>
      <c r="M74" s="6">
        <f t="shared" si="6"/>
        <v>1194153.84</v>
      </c>
      <c r="N74" s="6">
        <f t="shared" si="7"/>
        <v>477661.536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70">
        <v>1784979.0</v>
      </c>
      <c r="G75" s="2">
        <v>248.0</v>
      </c>
      <c r="H75" s="6">
        <f t="shared" si="2"/>
        <v>4056.768</v>
      </c>
      <c r="I75" s="6">
        <f t="shared" si="3"/>
        <v>713991.168</v>
      </c>
      <c r="J75" s="68">
        <f t="shared" ref="J75:K75" si="79">D75*1</f>
        <v>264</v>
      </c>
      <c r="K75" s="6">
        <f t="shared" si="79"/>
        <v>6761.28</v>
      </c>
      <c r="L75" s="6">
        <f t="shared" si="5"/>
        <v>4056.768</v>
      </c>
      <c r="M75" s="6">
        <f t="shared" si="6"/>
        <v>1784977.92</v>
      </c>
      <c r="N75" s="6">
        <f t="shared" si="7"/>
        <v>713991.168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70">
        <v>787528.0</v>
      </c>
      <c r="G76" s="2">
        <v>533.0</v>
      </c>
      <c r="H76" s="6">
        <f t="shared" si="2"/>
        <v>690.816</v>
      </c>
      <c r="I76" s="6">
        <f t="shared" si="3"/>
        <v>315012.096</v>
      </c>
      <c r="J76" s="68">
        <f t="shared" ref="J76:K76" si="80">D76*1</f>
        <v>684</v>
      </c>
      <c r="K76" s="6">
        <f t="shared" si="80"/>
        <v>1151.36</v>
      </c>
      <c r="L76" s="6">
        <f t="shared" si="5"/>
        <v>690.816</v>
      </c>
      <c r="M76" s="6">
        <f t="shared" si="6"/>
        <v>787530.24</v>
      </c>
      <c r="N76" s="6">
        <f t="shared" si="7"/>
        <v>315012.096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70">
        <v>4636541.0</v>
      </c>
      <c r="G77" s="2">
        <v>164.0</v>
      </c>
      <c r="H77" s="6">
        <f t="shared" si="2"/>
        <v>12999.648</v>
      </c>
      <c r="I77" s="6">
        <f t="shared" si="3"/>
        <v>1854616.448</v>
      </c>
      <c r="J77" s="68">
        <f t="shared" ref="J77:K77" si="81">D77*1</f>
        <v>214</v>
      </c>
      <c r="K77" s="6">
        <f t="shared" si="81"/>
        <v>21666.08</v>
      </c>
      <c r="L77" s="6">
        <f t="shared" si="5"/>
        <v>12999.648</v>
      </c>
      <c r="M77" s="6">
        <f t="shared" si="6"/>
        <v>4636541.12</v>
      </c>
      <c r="N77" s="6">
        <f t="shared" si="7"/>
        <v>1854616.448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70">
        <v>5885585.0</v>
      </c>
      <c r="G78" s="2">
        <v>913.0</v>
      </c>
      <c r="H78" s="6">
        <f t="shared" si="2"/>
        <v>3233.838</v>
      </c>
      <c r="I78" s="6">
        <f t="shared" si="3"/>
        <v>2354234.064</v>
      </c>
      <c r="J78" s="68">
        <f t="shared" ref="J78:K78" si="82">D78*1</f>
        <v>1092</v>
      </c>
      <c r="K78" s="6">
        <f t="shared" si="82"/>
        <v>5389.73</v>
      </c>
      <c r="L78" s="6">
        <f t="shared" si="5"/>
        <v>3233.838</v>
      </c>
      <c r="M78" s="6">
        <f t="shared" si="6"/>
        <v>5885585.16</v>
      </c>
      <c r="N78" s="6">
        <f t="shared" si="7"/>
        <v>2354234.064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70">
        <v>704547.0</v>
      </c>
      <c r="G79" s="2">
        <v>498.0</v>
      </c>
      <c r="H79" s="6">
        <f t="shared" si="2"/>
        <v>715.278</v>
      </c>
      <c r="I79" s="6">
        <f t="shared" si="3"/>
        <v>281819.532</v>
      </c>
      <c r="J79" s="68">
        <f t="shared" ref="J79:K79" si="83">D79*1</f>
        <v>591</v>
      </c>
      <c r="K79" s="6">
        <f t="shared" si="83"/>
        <v>1192.13</v>
      </c>
      <c r="L79" s="6">
        <f t="shared" si="5"/>
        <v>715.278</v>
      </c>
      <c r="M79" s="6">
        <f t="shared" si="6"/>
        <v>704548.83</v>
      </c>
      <c r="N79" s="6">
        <f t="shared" si="7"/>
        <v>281819.532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70">
        <v>4277847.0</v>
      </c>
      <c r="G80" s="2">
        <v>178.0</v>
      </c>
      <c r="H80" s="6">
        <f t="shared" si="2"/>
        <v>13162.608</v>
      </c>
      <c r="I80" s="6">
        <f t="shared" si="3"/>
        <v>1711139.04</v>
      </c>
      <c r="J80" s="68">
        <f t="shared" ref="J80:K80" si="84">D80*1</f>
        <v>195</v>
      </c>
      <c r="K80" s="6">
        <f t="shared" si="84"/>
        <v>21937.68</v>
      </c>
      <c r="L80" s="6">
        <f t="shared" si="5"/>
        <v>13162.608</v>
      </c>
      <c r="M80" s="6">
        <f t="shared" si="6"/>
        <v>4277847.6</v>
      </c>
      <c r="N80" s="6">
        <f t="shared" si="7"/>
        <v>1711139.04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70">
        <v>4617895.0</v>
      </c>
      <c r="G81" s="2">
        <v>780.0</v>
      </c>
      <c r="H81" s="6">
        <f t="shared" si="2"/>
        <v>3155.736</v>
      </c>
      <c r="I81" s="6">
        <f t="shared" si="3"/>
        <v>1847157.472</v>
      </c>
      <c r="J81" s="68">
        <f t="shared" ref="J81:K81" si="85">D81*1</f>
        <v>878</v>
      </c>
      <c r="K81" s="6">
        <f t="shared" si="85"/>
        <v>5259.56</v>
      </c>
      <c r="L81" s="6">
        <f t="shared" si="5"/>
        <v>3155.736</v>
      </c>
      <c r="M81" s="6">
        <f t="shared" si="6"/>
        <v>4617893.68</v>
      </c>
      <c r="N81" s="6">
        <f t="shared" si="7"/>
        <v>1847157.472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70">
        <v>3178538.0</v>
      </c>
      <c r="G82" s="2">
        <v>511.0</v>
      </c>
      <c r="H82" s="6">
        <f t="shared" si="2"/>
        <v>2885.208</v>
      </c>
      <c r="I82" s="6">
        <f t="shared" si="3"/>
        <v>1271414.992</v>
      </c>
      <c r="J82" s="68">
        <f t="shared" ref="J82:K82" si="86">D82*1</f>
        <v>661</v>
      </c>
      <c r="K82" s="6">
        <f t="shared" si="86"/>
        <v>4808.68</v>
      </c>
      <c r="L82" s="6">
        <f t="shared" si="5"/>
        <v>2885.208</v>
      </c>
      <c r="M82" s="6">
        <f t="shared" si="6"/>
        <v>3178537.48</v>
      </c>
      <c r="N82" s="6">
        <f t="shared" si="7"/>
        <v>1271414.992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70">
        <v>947916.0</v>
      </c>
      <c r="G83" s="2">
        <v>747.0</v>
      </c>
      <c r="H83" s="6">
        <f t="shared" si="2"/>
        <v>715.41</v>
      </c>
      <c r="I83" s="6">
        <f t="shared" si="3"/>
        <v>379167.3</v>
      </c>
      <c r="J83" s="68">
        <f t="shared" ref="J83:K83" si="87">D83*1</f>
        <v>795</v>
      </c>
      <c r="K83" s="6">
        <f t="shared" si="87"/>
        <v>1192.35</v>
      </c>
      <c r="L83" s="6">
        <f t="shared" si="5"/>
        <v>715.41</v>
      </c>
      <c r="M83" s="6">
        <f t="shared" si="6"/>
        <v>947918.25</v>
      </c>
      <c r="N83" s="6">
        <f t="shared" si="7"/>
        <v>379167.3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70">
        <v>5608032.0</v>
      </c>
      <c r="G84" s="2">
        <v>864.0</v>
      </c>
      <c r="H84" s="6">
        <f t="shared" si="2"/>
        <v>3192.426</v>
      </c>
      <c r="I84" s="6">
        <f t="shared" si="3"/>
        <v>2243211.336</v>
      </c>
      <c r="J84" s="68">
        <f t="shared" ref="J84:K84" si="88">D84*1</f>
        <v>1054</v>
      </c>
      <c r="K84" s="6">
        <f t="shared" si="88"/>
        <v>5320.71</v>
      </c>
      <c r="L84" s="6">
        <f t="shared" si="5"/>
        <v>3192.426</v>
      </c>
      <c r="M84" s="6">
        <f t="shared" si="6"/>
        <v>5608028.34</v>
      </c>
      <c r="N84" s="6">
        <f t="shared" si="7"/>
        <v>2243211.336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70">
        <v>3736762.0</v>
      </c>
      <c r="G85" s="2">
        <v>593.0</v>
      </c>
      <c r="H85" s="6">
        <f t="shared" si="2"/>
        <v>3212.118</v>
      </c>
      <c r="I85" s="6">
        <f t="shared" si="3"/>
        <v>1494705.576</v>
      </c>
      <c r="J85" s="68">
        <f t="shared" ref="J85:K85" si="89">D85*1</f>
        <v>698</v>
      </c>
      <c r="K85" s="6">
        <f t="shared" si="89"/>
        <v>5353.53</v>
      </c>
      <c r="L85" s="6">
        <f t="shared" si="5"/>
        <v>3212.118</v>
      </c>
      <c r="M85" s="6">
        <f t="shared" si="6"/>
        <v>3736763.94</v>
      </c>
      <c r="N85" s="6">
        <f t="shared" si="7"/>
        <v>1494705.576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70">
        <v>6132740.0</v>
      </c>
      <c r="G86" s="2">
        <v>1020.0</v>
      </c>
      <c r="H86" s="6">
        <f t="shared" si="2"/>
        <v>3397.638</v>
      </c>
      <c r="I86" s="6">
        <f t="shared" si="3"/>
        <v>2453094.636</v>
      </c>
      <c r="J86" s="68">
        <f t="shared" ref="J86:K86" si="90">D86*1</f>
        <v>1083</v>
      </c>
      <c r="K86" s="6">
        <f t="shared" si="90"/>
        <v>5662.73</v>
      </c>
      <c r="L86" s="6">
        <f t="shared" si="5"/>
        <v>3397.638</v>
      </c>
      <c r="M86" s="6">
        <f t="shared" si="6"/>
        <v>6132736.59</v>
      </c>
      <c r="N86" s="6">
        <f t="shared" si="7"/>
        <v>2453094.636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70">
        <v>5324975.0</v>
      </c>
      <c r="G87" s="2">
        <v>176.0</v>
      </c>
      <c r="H87" s="6">
        <f t="shared" si="2"/>
        <v>13094.202</v>
      </c>
      <c r="I87" s="6">
        <f t="shared" si="3"/>
        <v>2129990.192</v>
      </c>
      <c r="J87" s="68">
        <f t="shared" ref="J87:K87" si="91">D87*1</f>
        <v>244</v>
      </c>
      <c r="K87" s="6">
        <f t="shared" si="91"/>
        <v>21823.67</v>
      </c>
      <c r="L87" s="6">
        <f t="shared" si="5"/>
        <v>13094.202</v>
      </c>
      <c r="M87" s="6">
        <f t="shared" si="6"/>
        <v>5324975.48</v>
      </c>
      <c r="N87" s="6">
        <f t="shared" si="7"/>
        <v>2129990.192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70">
        <v>5179560.0</v>
      </c>
      <c r="G88" s="2">
        <v>169.0</v>
      </c>
      <c r="H88" s="6">
        <f t="shared" si="2"/>
        <v>13168.374</v>
      </c>
      <c r="I88" s="6">
        <f t="shared" si="3"/>
        <v>2071824.176</v>
      </c>
      <c r="J88" s="68">
        <f t="shared" ref="J88:K88" si="92">D88*1</f>
        <v>236</v>
      </c>
      <c r="K88" s="6">
        <f t="shared" si="92"/>
        <v>21947.29</v>
      </c>
      <c r="L88" s="6">
        <f t="shared" si="5"/>
        <v>13168.374</v>
      </c>
      <c r="M88" s="6">
        <f t="shared" si="6"/>
        <v>5179560.44</v>
      </c>
      <c r="N88" s="6">
        <f t="shared" si="7"/>
        <v>2071824.176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70">
        <v>2332190.0</v>
      </c>
      <c r="G89" s="2">
        <v>265.0</v>
      </c>
      <c r="H89" s="6">
        <f t="shared" si="2"/>
        <v>4177.056</v>
      </c>
      <c r="I89" s="6">
        <f t="shared" si="3"/>
        <v>932875.84</v>
      </c>
      <c r="J89" s="68">
        <f t="shared" ref="J89:K89" si="93">D89*1</f>
        <v>335</v>
      </c>
      <c r="K89" s="6">
        <f t="shared" si="93"/>
        <v>6961.76</v>
      </c>
      <c r="L89" s="6">
        <f t="shared" si="5"/>
        <v>4177.056</v>
      </c>
      <c r="M89" s="6">
        <f t="shared" si="6"/>
        <v>2332189.6</v>
      </c>
      <c r="N89" s="6">
        <f t="shared" si="7"/>
        <v>932875.84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70">
        <v>1197058.0</v>
      </c>
      <c r="G90" s="2">
        <v>761.0</v>
      </c>
      <c r="H90" s="6">
        <f t="shared" si="2"/>
        <v>680.148</v>
      </c>
      <c r="I90" s="6">
        <f t="shared" si="3"/>
        <v>478824.192</v>
      </c>
      <c r="J90" s="68">
        <f t="shared" ref="J90:K90" si="94">D90*1</f>
        <v>1056</v>
      </c>
      <c r="K90" s="6">
        <f t="shared" si="94"/>
        <v>1133.58</v>
      </c>
      <c r="L90" s="6">
        <f t="shared" si="5"/>
        <v>680.148</v>
      </c>
      <c r="M90" s="6">
        <f t="shared" si="6"/>
        <v>1197060.48</v>
      </c>
      <c r="N90" s="6">
        <f t="shared" si="7"/>
        <v>478824.192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70">
        <v>2850321.0</v>
      </c>
      <c r="G91" s="2">
        <v>371.0</v>
      </c>
      <c r="H91" s="6">
        <f t="shared" si="2"/>
        <v>4264.818</v>
      </c>
      <c r="I91" s="6">
        <f t="shared" si="3"/>
        <v>1140128.012</v>
      </c>
      <c r="J91" s="68">
        <f t="shared" ref="J91:K91" si="95">D91*1</f>
        <v>401</v>
      </c>
      <c r="K91" s="6">
        <f t="shared" si="95"/>
        <v>7108.03</v>
      </c>
      <c r="L91" s="6">
        <f t="shared" si="5"/>
        <v>4264.818</v>
      </c>
      <c r="M91" s="6">
        <f t="shared" si="6"/>
        <v>2850320.03</v>
      </c>
      <c r="N91" s="6">
        <f t="shared" si="7"/>
        <v>1140128.012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70">
        <v>4601168.0</v>
      </c>
      <c r="G92" s="2">
        <v>730.0</v>
      </c>
      <c r="H92" s="6">
        <f t="shared" si="2"/>
        <v>3370.818</v>
      </c>
      <c r="I92" s="6">
        <f t="shared" si="3"/>
        <v>1840466.628</v>
      </c>
      <c r="J92" s="68">
        <f t="shared" ref="J92:K92" si="96">D92*1</f>
        <v>819</v>
      </c>
      <c r="K92" s="6">
        <f t="shared" si="96"/>
        <v>5618.03</v>
      </c>
      <c r="L92" s="6">
        <f t="shared" si="5"/>
        <v>3370.818</v>
      </c>
      <c r="M92" s="6">
        <f t="shared" si="6"/>
        <v>4601166.57</v>
      </c>
      <c r="N92" s="6">
        <f t="shared" si="7"/>
        <v>1840466.628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70">
        <v>5318808.0</v>
      </c>
      <c r="G93" s="2">
        <v>834.0</v>
      </c>
      <c r="H93" s="6">
        <f t="shared" si="2"/>
        <v>3236.598</v>
      </c>
      <c r="I93" s="6">
        <f t="shared" si="3"/>
        <v>2127523.752</v>
      </c>
      <c r="J93" s="68">
        <f t="shared" ref="J93:K93" si="97">D93*1</f>
        <v>986</v>
      </c>
      <c r="K93" s="6">
        <f t="shared" si="97"/>
        <v>5394.33</v>
      </c>
      <c r="L93" s="6">
        <f t="shared" si="5"/>
        <v>3236.598</v>
      </c>
      <c r="M93" s="6">
        <f t="shared" si="6"/>
        <v>5318809.38</v>
      </c>
      <c r="N93" s="6">
        <f t="shared" si="7"/>
        <v>2127523.752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70">
        <v>5273211.0</v>
      </c>
      <c r="G94" s="2">
        <v>948.0</v>
      </c>
      <c r="H94" s="6">
        <f t="shared" si="2"/>
        <v>3138.816</v>
      </c>
      <c r="I94" s="6">
        <f t="shared" si="3"/>
        <v>2109284.352</v>
      </c>
      <c r="J94" s="68">
        <f t="shared" ref="J94:K94" si="98">D94*1</f>
        <v>1008</v>
      </c>
      <c r="K94" s="6">
        <f t="shared" si="98"/>
        <v>5231.36</v>
      </c>
      <c r="L94" s="6">
        <f t="shared" si="5"/>
        <v>3138.816</v>
      </c>
      <c r="M94" s="6">
        <f t="shared" si="6"/>
        <v>5273210.88</v>
      </c>
      <c r="N94" s="6">
        <f t="shared" si="7"/>
        <v>2109284.352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70">
        <v>4324011.0</v>
      </c>
      <c r="G95" s="2">
        <v>745.0</v>
      </c>
      <c r="H95" s="6">
        <f t="shared" si="2"/>
        <v>3234.924</v>
      </c>
      <c r="I95" s="6">
        <f t="shared" si="3"/>
        <v>1729606.032</v>
      </c>
      <c r="J95" s="68">
        <f t="shared" ref="J95:K95" si="99">D95*1</f>
        <v>802</v>
      </c>
      <c r="K95" s="6">
        <f t="shared" si="99"/>
        <v>5391.54</v>
      </c>
      <c r="L95" s="6">
        <f t="shared" si="5"/>
        <v>3234.924</v>
      </c>
      <c r="M95" s="6">
        <f t="shared" si="6"/>
        <v>4324015.08</v>
      </c>
      <c r="N95" s="6">
        <f t="shared" si="7"/>
        <v>1729606.032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70">
        <v>1421191.0</v>
      </c>
      <c r="G96" s="2">
        <v>207.0</v>
      </c>
      <c r="H96" s="6">
        <f t="shared" si="2"/>
        <v>3893.676</v>
      </c>
      <c r="I96" s="6">
        <f t="shared" si="3"/>
        <v>568476.696</v>
      </c>
      <c r="J96" s="68">
        <f t="shared" ref="J96:K96" si="100">D96*1</f>
        <v>219</v>
      </c>
      <c r="K96" s="6">
        <f t="shared" si="100"/>
        <v>6489.46</v>
      </c>
      <c r="L96" s="6">
        <f t="shared" si="5"/>
        <v>3893.676</v>
      </c>
      <c r="M96" s="6">
        <f t="shared" si="6"/>
        <v>1421191.74</v>
      </c>
      <c r="N96" s="6">
        <f t="shared" si="7"/>
        <v>568476.696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70">
        <v>2198584.0</v>
      </c>
      <c r="G97" s="2">
        <v>303.0</v>
      </c>
      <c r="H97" s="6">
        <f t="shared" si="2"/>
        <v>3845.922</v>
      </c>
      <c r="I97" s="6">
        <f t="shared" si="3"/>
        <v>879434.164</v>
      </c>
      <c r="J97" s="68">
        <f t="shared" ref="J97:K97" si="101">D97*1</f>
        <v>343</v>
      </c>
      <c r="K97" s="6">
        <f t="shared" si="101"/>
        <v>6409.87</v>
      </c>
      <c r="L97" s="6">
        <f t="shared" si="5"/>
        <v>3845.922</v>
      </c>
      <c r="M97" s="6">
        <f t="shared" si="6"/>
        <v>2198585.41</v>
      </c>
      <c r="N97" s="6">
        <f t="shared" si="7"/>
        <v>879434.164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70">
        <v>4498896.0</v>
      </c>
      <c r="G98" s="2">
        <v>176.0</v>
      </c>
      <c r="H98" s="6">
        <f t="shared" si="2"/>
        <v>12496.932</v>
      </c>
      <c r="I98" s="6">
        <f t="shared" si="3"/>
        <v>1799558.208</v>
      </c>
      <c r="J98" s="68">
        <f t="shared" ref="J98:K98" si="102">D98*1</f>
        <v>216</v>
      </c>
      <c r="K98" s="6">
        <f t="shared" si="102"/>
        <v>20828.22</v>
      </c>
      <c r="L98" s="6">
        <f t="shared" si="5"/>
        <v>12496.932</v>
      </c>
      <c r="M98" s="6">
        <f t="shared" si="6"/>
        <v>4498895.52</v>
      </c>
      <c r="N98" s="6">
        <f t="shared" si="7"/>
        <v>1799558.208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70">
        <v>2669602.0</v>
      </c>
      <c r="G99" s="2">
        <v>91.0</v>
      </c>
      <c r="H99" s="6">
        <f t="shared" si="2"/>
        <v>12612.294</v>
      </c>
      <c r="I99" s="6">
        <f t="shared" si="3"/>
        <v>1067840.892</v>
      </c>
      <c r="J99" s="68">
        <f t="shared" ref="J99:K99" si="103">D99*1</f>
        <v>127</v>
      </c>
      <c r="K99" s="6">
        <f t="shared" si="103"/>
        <v>21020.49</v>
      </c>
      <c r="L99" s="6">
        <f t="shared" si="5"/>
        <v>12612.294</v>
      </c>
      <c r="M99" s="6">
        <f t="shared" si="6"/>
        <v>2669602.23</v>
      </c>
      <c r="N99" s="6">
        <f t="shared" si="7"/>
        <v>1067840.892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70">
        <v>1236870.0</v>
      </c>
      <c r="G100" s="2">
        <v>691.0</v>
      </c>
      <c r="H100" s="6">
        <f t="shared" si="2"/>
        <v>823.662</v>
      </c>
      <c r="I100" s="6">
        <f t="shared" si="3"/>
        <v>494746.308</v>
      </c>
      <c r="J100" s="68">
        <f t="shared" ref="J100:K100" si="104">D100*1</f>
        <v>901</v>
      </c>
      <c r="K100" s="6">
        <f t="shared" si="104"/>
        <v>1372.77</v>
      </c>
      <c r="L100" s="6">
        <f t="shared" si="5"/>
        <v>823.662</v>
      </c>
      <c r="M100" s="6">
        <f t="shared" si="6"/>
        <v>1236865.77</v>
      </c>
      <c r="N100" s="6">
        <f t="shared" si="7"/>
        <v>494746.308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70">
        <v>4345467.0</v>
      </c>
      <c r="G101" s="2">
        <v>188.0</v>
      </c>
      <c r="H101" s="6">
        <f t="shared" si="2"/>
        <v>12183.552</v>
      </c>
      <c r="I101" s="6">
        <f t="shared" si="3"/>
        <v>1738186.752</v>
      </c>
      <c r="J101" s="68">
        <f t="shared" ref="J101:K101" si="105">D101*1</f>
        <v>214</v>
      </c>
      <c r="K101" s="6">
        <f t="shared" si="105"/>
        <v>20305.92</v>
      </c>
      <c r="L101" s="6">
        <f t="shared" si="5"/>
        <v>12183.552</v>
      </c>
      <c r="M101" s="6">
        <f t="shared" si="6"/>
        <v>4345466.88</v>
      </c>
      <c r="N101" s="6">
        <f t="shared" si="7"/>
        <v>1738186.752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70">
        <v>3350114.0</v>
      </c>
      <c r="G102" s="2">
        <v>114.0</v>
      </c>
      <c r="H102" s="6">
        <f t="shared" si="2"/>
        <v>12968.184</v>
      </c>
      <c r="I102" s="6">
        <f t="shared" si="3"/>
        <v>1340045.68</v>
      </c>
      <c r="J102" s="68">
        <f t="shared" ref="J102:K102" si="106">D102*1</f>
        <v>155</v>
      </c>
      <c r="K102" s="6">
        <f t="shared" si="106"/>
        <v>21613.64</v>
      </c>
      <c r="L102" s="6">
        <f t="shared" si="5"/>
        <v>12968.184</v>
      </c>
      <c r="M102" s="6">
        <f t="shared" si="6"/>
        <v>3350114.2</v>
      </c>
      <c r="N102" s="6">
        <f t="shared" si="7"/>
        <v>1340045.68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70">
        <v>3662075.0</v>
      </c>
      <c r="G103" s="2">
        <v>134.0</v>
      </c>
      <c r="H103" s="6">
        <f t="shared" si="2"/>
        <v>13397.838</v>
      </c>
      <c r="I103" s="6">
        <f t="shared" si="3"/>
        <v>1464830.288</v>
      </c>
      <c r="J103" s="68">
        <f t="shared" ref="J103:K103" si="107">D103*1</f>
        <v>164</v>
      </c>
      <c r="K103" s="6">
        <f t="shared" si="107"/>
        <v>22329.73</v>
      </c>
      <c r="L103" s="6">
        <f t="shared" si="5"/>
        <v>13397.838</v>
      </c>
      <c r="M103" s="6">
        <f t="shared" si="6"/>
        <v>3662075.72</v>
      </c>
      <c r="N103" s="6">
        <f t="shared" si="7"/>
        <v>1464830.288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70">
        <v>4729370.0</v>
      </c>
      <c r="G104" s="2">
        <v>802.0</v>
      </c>
      <c r="H104" s="6">
        <f t="shared" si="2"/>
        <v>3220.908</v>
      </c>
      <c r="I104" s="6">
        <f t="shared" si="3"/>
        <v>1891746.632</v>
      </c>
      <c r="J104" s="68">
        <f t="shared" ref="J104:K104" si="108">D104*1</f>
        <v>881</v>
      </c>
      <c r="K104" s="6">
        <f t="shared" si="108"/>
        <v>5368.18</v>
      </c>
      <c r="L104" s="6">
        <f t="shared" si="5"/>
        <v>3220.908</v>
      </c>
      <c r="M104" s="6">
        <f t="shared" si="6"/>
        <v>4729366.58</v>
      </c>
      <c r="N104" s="6">
        <f t="shared" si="7"/>
        <v>1891746.632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70">
        <v>3687337.0</v>
      </c>
      <c r="G105" s="2">
        <v>511.0</v>
      </c>
      <c r="H105" s="6">
        <f t="shared" si="2"/>
        <v>3169.632</v>
      </c>
      <c r="I105" s="6">
        <f t="shared" si="3"/>
        <v>1474935.424</v>
      </c>
      <c r="J105" s="68">
        <f t="shared" ref="J105:K105" si="109">D105*1</f>
        <v>698</v>
      </c>
      <c r="K105" s="6">
        <f t="shared" si="109"/>
        <v>5282.72</v>
      </c>
      <c r="L105" s="6">
        <f t="shared" si="5"/>
        <v>3169.632</v>
      </c>
      <c r="M105" s="6">
        <f t="shared" si="6"/>
        <v>3687338.56</v>
      </c>
      <c r="N105" s="6">
        <f t="shared" si="7"/>
        <v>1474935.424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70">
        <v>4220592.0</v>
      </c>
      <c r="G106" s="2">
        <v>164.0</v>
      </c>
      <c r="H106" s="6">
        <f t="shared" si="2"/>
        <v>13053.378</v>
      </c>
      <c r="I106" s="6">
        <f t="shared" si="3"/>
        <v>1688236.888</v>
      </c>
      <c r="J106" s="68">
        <f t="shared" ref="J106:K106" si="110">D106*1</f>
        <v>194</v>
      </c>
      <c r="K106" s="6">
        <f t="shared" si="110"/>
        <v>21755.63</v>
      </c>
      <c r="L106" s="6">
        <f t="shared" si="5"/>
        <v>13053.378</v>
      </c>
      <c r="M106" s="6">
        <f t="shared" si="6"/>
        <v>4220592.22</v>
      </c>
      <c r="N106" s="6">
        <f t="shared" si="7"/>
        <v>1688236.888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70">
        <v>3941141.0</v>
      </c>
      <c r="G107" s="2">
        <v>138.0</v>
      </c>
      <c r="H107" s="6">
        <f t="shared" si="2"/>
        <v>12992.772</v>
      </c>
      <c r="I107" s="6">
        <f t="shared" si="3"/>
        <v>1576456.336</v>
      </c>
      <c r="J107" s="68">
        <f t="shared" ref="J107:K107" si="111">D107*1</f>
        <v>182</v>
      </c>
      <c r="K107" s="6">
        <f t="shared" si="111"/>
        <v>21654.62</v>
      </c>
      <c r="L107" s="6">
        <f t="shared" si="5"/>
        <v>12992.772</v>
      </c>
      <c r="M107" s="6">
        <f t="shared" si="6"/>
        <v>3941140.84</v>
      </c>
      <c r="N107" s="6">
        <f t="shared" si="7"/>
        <v>1576456.336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70">
        <v>2339665.0</v>
      </c>
      <c r="G108" s="2">
        <v>322.0</v>
      </c>
      <c r="H108" s="6">
        <f t="shared" si="2"/>
        <v>3773.652</v>
      </c>
      <c r="I108" s="6">
        <f t="shared" si="3"/>
        <v>935865.696</v>
      </c>
      <c r="J108" s="68">
        <f t="shared" ref="J108:K108" si="112">D108*1</f>
        <v>372</v>
      </c>
      <c r="K108" s="6">
        <f t="shared" si="112"/>
        <v>6289.42</v>
      </c>
      <c r="L108" s="6">
        <f t="shared" si="5"/>
        <v>3773.652</v>
      </c>
      <c r="M108" s="6">
        <f t="shared" si="6"/>
        <v>2339664.24</v>
      </c>
      <c r="N108" s="6">
        <f t="shared" si="7"/>
        <v>935865.696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70">
        <v>1859235.0</v>
      </c>
      <c r="G109" s="2">
        <v>191.0</v>
      </c>
      <c r="H109" s="6">
        <f t="shared" si="2"/>
        <v>4116.39</v>
      </c>
      <c r="I109" s="6">
        <f t="shared" si="3"/>
        <v>743694.46</v>
      </c>
      <c r="J109" s="68">
        <f t="shared" ref="J109:K109" si="113">D109*1</f>
        <v>271</v>
      </c>
      <c r="K109" s="6">
        <f t="shared" si="113"/>
        <v>6860.65</v>
      </c>
      <c r="L109" s="6">
        <f t="shared" si="5"/>
        <v>4116.39</v>
      </c>
      <c r="M109" s="6">
        <f t="shared" si="6"/>
        <v>1859236.15</v>
      </c>
      <c r="N109" s="6">
        <f t="shared" si="7"/>
        <v>743694.46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70">
        <v>4575590.0</v>
      </c>
      <c r="G110" s="2">
        <v>196.0</v>
      </c>
      <c r="H110" s="6">
        <f t="shared" si="2"/>
        <v>12651.402</v>
      </c>
      <c r="I110" s="6">
        <f t="shared" si="3"/>
        <v>1830236.156</v>
      </c>
      <c r="J110" s="68">
        <f t="shared" ref="J110:K110" si="114">D110*1</f>
        <v>217</v>
      </c>
      <c r="K110" s="6">
        <f t="shared" si="114"/>
        <v>21085.67</v>
      </c>
      <c r="L110" s="6">
        <f t="shared" si="5"/>
        <v>12651.402</v>
      </c>
      <c r="M110" s="6">
        <f t="shared" si="6"/>
        <v>4575590.39</v>
      </c>
      <c r="N110" s="6">
        <f t="shared" si="7"/>
        <v>1830236.156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70">
        <v>5478565.0</v>
      </c>
      <c r="G111" s="2">
        <v>733.0</v>
      </c>
      <c r="H111" s="6">
        <f t="shared" si="2"/>
        <v>3287.142</v>
      </c>
      <c r="I111" s="6">
        <f t="shared" si="3"/>
        <v>2191428</v>
      </c>
      <c r="J111" s="68">
        <f t="shared" ref="J111:K111" si="115">D111*1</f>
        <v>1000</v>
      </c>
      <c r="K111" s="6">
        <f t="shared" si="115"/>
        <v>5478.57</v>
      </c>
      <c r="L111" s="6">
        <f t="shared" si="5"/>
        <v>3287.142</v>
      </c>
      <c r="M111" s="6">
        <f t="shared" si="6"/>
        <v>5478570</v>
      </c>
      <c r="N111" s="6">
        <f t="shared" si="7"/>
        <v>2191428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70">
        <v>6285913.0</v>
      </c>
      <c r="G112" s="2">
        <v>1002.0</v>
      </c>
      <c r="H112" s="6">
        <f t="shared" si="2"/>
        <v>3204.372</v>
      </c>
      <c r="I112" s="6">
        <f t="shared" si="3"/>
        <v>2514363.896</v>
      </c>
      <c r="J112" s="68">
        <f t="shared" ref="J112:K112" si="116">D112*1</f>
        <v>1177</v>
      </c>
      <c r="K112" s="6">
        <f t="shared" si="116"/>
        <v>5340.62</v>
      </c>
      <c r="L112" s="6">
        <f t="shared" si="5"/>
        <v>3204.372</v>
      </c>
      <c r="M112" s="6">
        <f t="shared" si="6"/>
        <v>6285909.74</v>
      </c>
      <c r="N112" s="6">
        <f t="shared" si="7"/>
        <v>2514363.896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70">
        <v>3008263.0</v>
      </c>
      <c r="G113" s="2">
        <v>371.0</v>
      </c>
      <c r="H113" s="6">
        <f t="shared" si="2"/>
        <v>4028.922</v>
      </c>
      <c r="I113" s="6">
        <f t="shared" si="3"/>
        <v>1203304.704</v>
      </c>
      <c r="J113" s="68">
        <f t="shared" ref="J113:K113" si="117">D113*1</f>
        <v>448</v>
      </c>
      <c r="K113" s="6">
        <f t="shared" si="117"/>
        <v>6714.87</v>
      </c>
      <c r="L113" s="6">
        <f t="shared" si="5"/>
        <v>4028.922</v>
      </c>
      <c r="M113" s="6">
        <f t="shared" si="6"/>
        <v>3008261.76</v>
      </c>
      <c r="N113" s="6">
        <f t="shared" si="7"/>
        <v>1203304.704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70">
        <v>4128145.0</v>
      </c>
      <c r="G114" s="2">
        <v>167.0</v>
      </c>
      <c r="H114" s="6">
        <f t="shared" si="2"/>
        <v>12082.374</v>
      </c>
      <c r="I114" s="6">
        <f t="shared" si="3"/>
        <v>1651257.78</v>
      </c>
      <c r="J114" s="68">
        <f t="shared" ref="J114:K114" si="118">D114*1</f>
        <v>205</v>
      </c>
      <c r="K114" s="6">
        <f t="shared" si="118"/>
        <v>20137.29</v>
      </c>
      <c r="L114" s="6">
        <f t="shared" si="5"/>
        <v>12082.374</v>
      </c>
      <c r="M114" s="6">
        <f t="shared" si="6"/>
        <v>4128144.45</v>
      </c>
      <c r="N114" s="6">
        <f t="shared" si="7"/>
        <v>1651257.78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70">
        <v>5548046.0</v>
      </c>
      <c r="G115" s="2">
        <v>820.0</v>
      </c>
      <c r="H115" s="6">
        <f t="shared" si="2"/>
        <v>3173.334</v>
      </c>
      <c r="I115" s="6">
        <f t="shared" si="3"/>
        <v>2219218.244</v>
      </c>
      <c r="J115" s="68">
        <f t="shared" ref="J115:K115" si="119">D115*1</f>
        <v>1049</v>
      </c>
      <c r="K115" s="6">
        <f t="shared" si="119"/>
        <v>5288.89</v>
      </c>
      <c r="L115" s="6">
        <f t="shared" si="5"/>
        <v>3173.334</v>
      </c>
      <c r="M115" s="6">
        <f t="shared" si="6"/>
        <v>5548045.61</v>
      </c>
      <c r="N115" s="6">
        <f t="shared" si="7"/>
        <v>2219218.244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70">
        <v>2357231.0</v>
      </c>
      <c r="G116" s="2">
        <v>334.0</v>
      </c>
      <c r="H116" s="6">
        <f t="shared" si="2"/>
        <v>3702.456</v>
      </c>
      <c r="I116" s="6">
        <f t="shared" si="3"/>
        <v>942892.128</v>
      </c>
      <c r="J116" s="68">
        <f t="shared" ref="J116:K116" si="120">D116*1</f>
        <v>382</v>
      </c>
      <c r="K116" s="6">
        <f t="shared" si="120"/>
        <v>6170.76</v>
      </c>
      <c r="L116" s="6">
        <f t="shared" si="5"/>
        <v>3702.456</v>
      </c>
      <c r="M116" s="6">
        <f t="shared" si="6"/>
        <v>2357230.32</v>
      </c>
      <c r="N116" s="6">
        <f t="shared" si="7"/>
        <v>942892.128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70">
        <v>1478238.0</v>
      </c>
      <c r="G117" s="2">
        <v>879.0</v>
      </c>
      <c r="H117" s="6">
        <f t="shared" si="2"/>
        <v>809.994</v>
      </c>
      <c r="I117" s="6">
        <f t="shared" si="3"/>
        <v>591295.62</v>
      </c>
      <c r="J117" s="68">
        <f t="shared" ref="J117:K117" si="121">D117*1</f>
        <v>1095</v>
      </c>
      <c r="K117" s="6">
        <f t="shared" si="121"/>
        <v>1349.99</v>
      </c>
      <c r="L117" s="6">
        <f t="shared" si="5"/>
        <v>809.994</v>
      </c>
      <c r="M117" s="6">
        <f t="shared" si="6"/>
        <v>1478239.05</v>
      </c>
      <c r="N117" s="6">
        <f t="shared" si="7"/>
        <v>591295.62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70">
        <v>3428006.0</v>
      </c>
      <c r="G118" s="2">
        <v>491.0</v>
      </c>
      <c r="H118" s="6">
        <f t="shared" si="2"/>
        <v>3116.37</v>
      </c>
      <c r="I118" s="6">
        <f t="shared" si="3"/>
        <v>1371202.8</v>
      </c>
      <c r="J118" s="68">
        <f t="shared" ref="J118:K118" si="122">D118*1</f>
        <v>660</v>
      </c>
      <c r="K118" s="6">
        <f t="shared" si="122"/>
        <v>5193.95</v>
      </c>
      <c r="L118" s="6">
        <f t="shared" si="5"/>
        <v>3116.37</v>
      </c>
      <c r="M118" s="6">
        <f t="shared" si="6"/>
        <v>3428007</v>
      </c>
      <c r="N118" s="6">
        <f t="shared" si="7"/>
        <v>1371202.8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70">
        <v>4277666.0</v>
      </c>
      <c r="G119" s="2">
        <v>656.0</v>
      </c>
      <c r="H119" s="6">
        <f t="shared" si="2"/>
        <v>3084.858</v>
      </c>
      <c r="I119" s="6">
        <f t="shared" si="3"/>
        <v>1711067.904</v>
      </c>
      <c r="J119" s="68">
        <f t="shared" ref="J119:K119" si="123">D119*1</f>
        <v>832</v>
      </c>
      <c r="K119" s="6">
        <f t="shared" si="123"/>
        <v>5141.43</v>
      </c>
      <c r="L119" s="6">
        <f t="shared" si="5"/>
        <v>3084.858</v>
      </c>
      <c r="M119" s="6">
        <f t="shared" si="6"/>
        <v>4277669.76</v>
      </c>
      <c r="N119" s="6">
        <f t="shared" si="7"/>
        <v>1711067.904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70">
        <v>3023973.0</v>
      </c>
      <c r="G120" s="2">
        <v>118.0</v>
      </c>
      <c r="H120" s="6">
        <f t="shared" si="2"/>
        <v>12599.886</v>
      </c>
      <c r="I120" s="6">
        <f t="shared" si="3"/>
        <v>1209589.056</v>
      </c>
      <c r="J120" s="68">
        <f t="shared" ref="J120:K120" si="124">D120*1</f>
        <v>144</v>
      </c>
      <c r="K120" s="6">
        <f t="shared" si="124"/>
        <v>20999.81</v>
      </c>
      <c r="L120" s="6">
        <f t="shared" si="5"/>
        <v>12599.886</v>
      </c>
      <c r="M120" s="6">
        <f t="shared" si="6"/>
        <v>3023972.64</v>
      </c>
      <c r="N120" s="6">
        <f t="shared" si="7"/>
        <v>1209589.056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70">
        <v>4383909.0</v>
      </c>
      <c r="G121" s="2">
        <v>191.0</v>
      </c>
      <c r="H121" s="6">
        <f t="shared" si="2"/>
        <v>12768.666</v>
      </c>
      <c r="I121" s="6">
        <f t="shared" si="3"/>
        <v>1753563.464</v>
      </c>
      <c r="J121" s="68">
        <f t="shared" ref="J121:K121" si="125">D121*1</f>
        <v>206</v>
      </c>
      <c r="K121" s="6">
        <f t="shared" si="125"/>
        <v>21281.11</v>
      </c>
      <c r="L121" s="6">
        <f t="shared" si="5"/>
        <v>12768.666</v>
      </c>
      <c r="M121" s="6">
        <f t="shared" si="6"/>
        <v>4383908.66</v>
      </c>
      <c r="N121" s="6">
        <f t="shared" si="7"/>
        <v>1753563.464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70">
        <v>799107.0</v>
      </c>
      <c r="G122" s="2">
        <v>620.0</v>
      </c>
      <c r="H122" s="6">
        <f t="shared" si="2"/>
        <v>730.89</v>
      </c>
      <c r="I122" s="6">
        <f t="shared" si="3"/>
        <v>319642.56</v>
      </c>
      <c r="J122" s="68">
        <f t="shared" ref="J122:K122" si="126">D122*1</f>
        <v>656</v>
      </c>
      <c r="K122" s="6">
        <f t="shared" si="126"/>
        <v>1218.15</v>
      </c>
      <c r="L122" s="6">
        <f t="shared" si="5"/>
        <v>730.89</v>
      </c>
      <c r="M122" s="6">
        <f t="shared" si="6"/>
        <v>799106.4</v>
      </c>
      <c r="N122" s="6">
        <f t="shared" si="7"/>
        <v>319642.56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70">
        <v>2651736.0</v>
      </c>
      <c r="G123" s="2">
        <v>100.0</v>
      </c>
      <c r="H123" s="6">
        <f t="shared" si="2"/>
        <v>12527.886</v>
      </c>
      <c r="I123" s="6">
        <f t="shared" si="3"/>
        <v>1060694.348</v>
      </c>
      <c r="J123" s="68">
        <f t="shared" ref="J123:K123" si="127">D123*1</f>
        <v>127</v>
      </c>
      <c r="K123" s="6">
        <f t="shared" si="127"/>
        <v>20879.81</v>
      </c>
      <c r="L123" s="6">
        <f t="shared" si="5"/>
        <v>12527.886</v>
      </c>
      <c r="M123" s="6">
        <f t="shared" si="6"/>
        <v>2651735.87</v>
      </c>
      <c r="N123" s="6">
        <f t="shared" si="7"/>
        <v>1060694.348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70">
        <v>6157541.0</v>
      </c>
      <c r="G124" s="2">
        <v>998.0</v>
      </c>
      <c r="H124" s="6">
        <f t="shared" si="2"/>
        <v>3284.022</v>
      </c>
      <c r="I124" s="6">
        <f t="shared" si="3"/>
        <v>2463016.5</v>
      </c>
      <c r="J124" s="68">
        <f t="shared" ref="J124:K124" si="128">D124*1</f>
        <v>1125</v>
      </c>
      <c r="K124" s="6">
        <f t="shared" si="128"/>
        <v>5473.37</v>
      </c>
      <c r="L124" s="6">
        <f t="shared" si="5"/>
        <v>3284.022</v>
      </c>
      <c r="M124" s="6">
        <f t="shared" si="6"/>
        <v>6157541.25</v>
      </c>
      <c r="N124" s="6">
        <f t="shared" si="7"/>
        <v>2463016.5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70">
        <v>4681642.0</v>
      </c>
      <c r="G125" s="2">
        <v>162.0</v>
      </c>
      <c r="H125" s="6">
        <f t="shared" si="2"/>
        <v>13126.098</v>
      </c>
      <c r="I125" s="6">
        <f t="shared" si="3"/>
        <v>1872656.648</v>
      </c>
      <c r="J125" s="68">
        <f t="shared" ref="J125:K125" si="129">D125*1</f>
        <v>214</v>
      </c>
      <c r="K125" s="6">
        <f t="shared" si="129"/>
        <v>21876.83</v>
      </c>
      <c r="L125" s="6">
        <f t="shared" si="5"/>
        <v>13126.098</v>
      </c>
      <c r="M125" s="6">
        <f t="shared" si="6"/>
        <v>4681641.62</v>
      </c>
      <c r="N125" s="6">
        <f t="shared" si="7"/>
        <v>1872656.648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70">
        <v>3242020.0</v>
      </c>
      <c r="G126" s="2">
        <v>457.0</v>
      </c>
      <c r="H126" s="6">
        <f t="shared" si="2"/>
        <v>3102.414</v>
      </c>
      <c r="I126" s="6">
        <f t="shared" si="3"/>
        <v>1296809.052</v>
      </c>
      <c r="J126" s="68">
        <f t="shared" ref="J126:K126" si="130">D126*1</f>
        <v>627</v>
      </c>
      <c r="K126" s="6">
        <f t="shared" si="130"/>
        <v>5170.69</v>
      </c>
      <c r="L126" s="6">
        <f t="shared" si="5"/>
        <v>3102.414</v>
      </c>
      <c r="M126" s="6">
        <f t="shared" si="6"/>
        <v>3242022.63</v>
      </c>
      <c r="N126" s="6">
        <f t="shared" si="7"/>
        <v>1296809.052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70">
        <v>5993671.0</v>
      </c>
      <c r="G127" s="2">
        <v>929.0</v>
      </c>
      <c r="H127" s="6">
        <f t="shared" si="2"/>
        <v>3050.214</v>
      </c>
      <c r="I127" s="6">
        <f t="shared" si="3"/>
        <v>2397468.204</v>
      </c>
      <c r="J127" s="68">
        <f t="shared" ref="J127:K127" si="131">D127*1</f>
        <v>1179</v>
      </c>
      <c r="K127" s="6">
        <f t="shared" si="131"/>
        <v>5083.69</v>
      </c>
      <c r="L127" s="6">
        <f t="shared" si="5"/>
        <v>3050.214</v>
      </c>
      <c r="M127" s="6">
        <f t="shared" si="6"/>
        <v>5993670.51</v>
      </c>
      <c r="N127" s="6">
        <f t="shared" si="7"/>
        <v>2397468.204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70">
        <v>3165052.0</v>
      </c>
      <c r="G128" s="2">
        <v>378.0</v>
      </c>
      <c r="H128" s="6">
        <f t="shared" si="2"/>
        <v>4447.38</v>
      </c>
      <c r="I128" s="6">
        <f t="shared" si="3"/>
        <v>1266020.84</v>
      </c>
      <c r="J128" s="68">
        <f t="shared" ref="J128:K128" si="132">D128*1</f>
        <v>427</v>
      </c>
      <c r="K128" s="6">
        <f t="shared" si="132"/>
        <v>7412.3</v>
      </c>
      <c r="L128" s="6">
        <f t="shared" si="5"/>
        <v>4447.38</v>
      </c>
      <c r="M128" s="6">
        <f t="shared" si="6"/>
        <v>3165052.1</v>
      </c>
      <c r="N128" s="6">
        <f t="shared" si="7"/>
        <v>1266020.84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70">
        <v>1688051.0</v>
      </c>
      <c r="G129" s="2">
        <v>185.0</v>
      </c>
      <c r="H129" s="6">
        <f t="shared" si="2"/>
        <v>4202.616</v>
      </c>
      <c r="I129" s="6">
        <f t="shared" si="3"/>
        <v>675220.304</v>
      </c>
      <c r="J129" s="68">
        <f t="shared" ref="J129:K129" si="133">D129*1</f>
        <v>241</v>
      </c>
      <c r="K129" s="6">
        <f t="shared" si="133"/>
        <v>7004.36</v>
      </c>
      <c r="L129" s="6">
        <f t="shared" si="5"/>
        <v>4202.616</v>
      </c>
      <c r="M129" s="6">
        <f t="shared" si="6"/>
        <v>1688050.76</v>
      </c>
      <c r="N129" s="6">
        <f t="shared" si="7"/>
        <v>675220.304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70">
        <v>3254943.0</v>
      </c>
      <c r="G130" s="2">
        <v>154.0</v>
      </c>
      <c r="H130" s="6">
        <f t="shared" si="2"/>
        <v>11981.388</v>
      </c>
      <c r="I130" s="6">
        <f t="shared" si="3"/>
        <v>1301977.496</v>
      </c>
      <c r="J130" s="68">
        <f t="shared" ref="J130:K130" si="134">D130*1</f>
        <v>163</v>
      </c>
      <c r="K130" s="6">
        <f t="shared" si="134"/>
        <v>19968.98</v>
      </c>
      <c r="L130" s="6">
        <f t="shared" si="5"/>
        <v>11981.388</v>
      </c>
      <c r="M130" s="6">
        <f t="shared" si="6"/>
        <v>3254943.74</v>
      </c>
      <c r="N130" s="6">
        <f t="shared" si="7"/>
        <v>1301977.496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70">
        <v>5685834.0</v>
      </c>
      <c r="G131" s="2">
        <v>751.0</v>
      </c>
      <c r="H131" s="6">
        <f t="shared" si="2"/>
        <v>3292.956</v>
      </c>
      <c r="I131" s="6">
        <f t="shared" si="3"/>
        <v>2274334.944</v>
      </c>
      <c r="J131" s="68">
        <f t="shared" ref="J131:K131" si="135">D131*1</f>
        <v>1036</v>
      </c>
      <c r="K131" s="6">
        <f t="shared" si="135"/>
        <v>5488.26</v>
      </c>
      <c r="L131" s="6">
        <f t="shared" si="5"/>
        <v>3292.956</v>
      </c>
      <c r="M131" s="6">
        <f t="shared" si="6"/>
        <v>5685837.36</v>
      </c>
      <c r="N131" s="6">
        <f t="shared" si="7"/>
        <v>2274334.944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70">
        <v>2048068.0</v>
      </c>
      <c r="G132" s="2">
        <v>239.0</v>
      </c>
      <c r="H132" s="6">
        <f t="shared" si="2"/>
        <v>3951.258</v>
      </c>
      <c r="I132" s="6">
        <f t="shared" si="3"/>
        <v>819227.492</v>
      </c>
      <c r="J132" s="68">
        <f t="shared" ref="J132:K132" si="136">D132*1</f>
        <v>311</v>
      </c>
      <c r="K132" s="6">
        <f t="shared" si="136"/>
        <v>6585.43</v>
      </c>
      <c r="L132" s="6">
        <f t="shared" si="5"/>
        <v>3951.258</v>
      </c>
      <c r="M132" s="6">
        <f t="shared" si="6"/>
        <v>2048068.73</v>
      </c>
      <c r="N132" s="6">
        <f t="shared" si="7"/>
        <v>819227.492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70">
        <v>4392975.0</v>
      </c>
      <c r="G133" s="2">
        <v>593.0</v>
      </c>
      <c r="H133" s="6">
        <f t="shared" si="2"/>
        <v>3130.386</v>
      </c>
      <c r="I133" s="6">
        <f t="shared" si="3"/>
        <v>1757190.008</v>
      </c>
      <c r="J133" s="68">
        <f t="shared" ref="J133:K133" si="137">D133*1</f>
        <v>842</v>
      </c>
      <c r="K133" s="6">
        <f t="shared" si="137"/>
        <v>5217.31</v>
      </c>
      <c r="L133" s="6">
        <f t="shared" si="5"/>
        <v>3130.386</v>
      </c>
      <c r="M133" s="6">
        <f t="shared" si="6"/>
        <v>4392975.02</v>
      </c>
      <c r="N133" s="6">
        <f t="shared" si="7"/>
        <v>1757190.008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70">
        <v>757221.0</v>
      </c>
      <c r="G134" s="2">
        <v>578.0</v>
      </c>
      <c r="H134" s="6">
        <f t="shared" si="2"/>
        <v>730.44</v>
      </c>
      <c r="I134" s="6">
        <f t="shared" si="3"/>
        <v>302889.12</v>
      </c>
      <c r="J134" s="68">
        <f t="shared" ref="J134:K134" si="138">D134*1</f>
        <v>622</v>
      </c>
      <c r="K134" s="6">
        <f t="shared" si="138"/>
        <v>1217.4</v>
      </c>
      <c r="L134" s="6">
        <f t="shared" si="5"/>
        <v>730.44</v>
      </c>
      <c r="M134" s="6">
        <f t="shared" si="6"/>
        <v>757222.8</v>
      </c>
      <c r="N134" s="6">
        <f t="shared" si="7"/>
        <v>302889.12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70">
        <v>6046177.0</v>
      </c>
      <c r="G135" s="2">
        <v>971.0</v>
      </c>
      <c r="H135" s="6">
        <f t="shared" si="2"/>
        <v>3288.942</v>
      </c>
      <c r="I135" s="6">
        <f t="shared" si="3"/>
        <v>2418468.684</v>
      </c>
      <c r="J135" s="68">
        <f t="shared" ref="J135:K135" si="139">D135*1</f>
        <v>1103</v>
      </c>
      <c r="K135" s="6">
        <f t="shared" si="139"/>
        <v>5481.57</v>
      </c>
      <c r="L135" s="6">
        <f t="shared" si="5"/>
        <v>3288.942</v>
      </c>
      <c r="M135" s="6">
        <f t="shared" si="6"/>
        <v>6046171.71</v>
      </c>
      <c r="N135" s="6">
        <f t="shared" si="7"/>
        <v>2418468.684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70">
        <v>2492070.0</v>
      </c>
      <c r="G136" s="2">
        <v>358.0</v>
      </c>
      <c r="H136" s="6">
        <f t="shared" si="2"/>
        <v>3719.508</v>
      </c>
      <c r="I136" s="6">
        <f t="shared" si="3"/>
        <v>996828.144</v>
      </c>
      <c r="J136" s="68">
        <f t="shared" ref="J136:K136" si="140">D136*1</f>
        <v>402</v>
      </c>
      <c r="K136" s="6">
        <f t="shared" si="140"/>
        <v>6199.18</v>
      </c>
      <c r="L136" s="6">
        <f t="shared" si="5"/>
        <v>3719.508</v>
      </c>
      <c r="M136" s="6">
        <f t="shared" si="6"/>
        <v>2492070.36</v>
      </c>
      <c r="N136" s="6">
        <f t="shared" si="7"/>
        <v>996828.144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70">
        <v>3663093.0</v>
      </c>
      <c r="G137" s="2">
        <v>134.0</v>
      </c>
      <c r="H137" s="6">
        <f t="shared" si="2"/>
        <v>13160.814</v>
      </c>
      <c r="I137" s="6">
        <f t="shared" si="3"/>
        <v>1465237.292</v>
      </c>
      <c r="J137" s="68">
        <f t="shared" ref="J137:K137" si="141">D137*1</f>
        <v>167</v>
      </c>
      <c r="K137" s="6">
        <f t="shared" si="141"/>
        <v>21934.69</v>
      </c>
      <c r="L137" s="6">
        <f t="shared" si="5"/>
        <v>13160.814</v>
      </c>
      <c r="M137" s="6">
        <f t="shared" si="6"/>
        <v>3663093.23</v>
      </c>
      <c r="N137" s="6">
        <f t="shared" si="7"/>
        <v>1465237.292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70">
        <v>3955087.0</v>
      </c>
      <c r="G138" s="2">
        <v>570.0</v>
      </c>
      <c r="H138" s="6">
        <f t="shared" si="2"/>
        <v>3211.164</v>
      </c>
      <c r="I138" s="6">
        <f t="shared" si="3"/>
        <v>1582033.464</v>
      </c>
      <c r="J138" s="68">
        <f t="shared" ref="J138:K138" si="142">D138*1</f>
        <v>739</v>
      </c>
      <c r="K138" s="6">
        <f t="shared" si="142"/>
        <v>5351.94</v>
      </c>
      <c r="L138" s="6">
        <f t="shared" si="5"/>
        <v>3211.164</v>
      </c>
      <c r="M138" s="6">
        <f t="shared" si="6"/>
        <v>3955083.66</v>
      </c>
      <c r="N138" s="6">
        <f t="shared" si="7"/>
        <v>1582033.464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70">
        <v>2944347.0</v>
      </c>
      <c r="G139" s="2">
        <v>326.0</v>
      </c>
      <c r="H139" s="6">
        <f t="shared" si="2"/>
        <v>3857.226</v>
      </c>
      <c r="I139" s="6">
        <f t="shared" si="3"/>
        <v>1177739.672</v>
      </c>
      <c r="J139" s="68">
        <f t="shared" ref="J139:K139" si="143">D139*1</f>
        <v>458</v>
      </c>
      <c r="K139" s="6">
        <f t="shared" si="143"/>
        <v>6428.71</v>
      </c>
      <c r="L139" s="6">
        <f t="shared" si="5"/>
        <v>3857.226</v>
      </c>
      <c r="M139" s="6">
        <f t="shared" si="6"/>
        <v>2944349.18</v>
      </c>
      <c r="N139" s="6">
        <f t="shared" si="7"/>
        <v>1177739.672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70">
        <v>2319724.0</v>
      </c>
      <c r="G140" s="2">
        <v>79.0</v>
      </c>
      <c r="H140" s="6">
        <f t="shared" si="2"/>
        <v>13383.018</v>
      </c>
      <c r="I140" s="6">
        <f t="shared" si="3"/>
        <v>927889.248</v>
      </c>
      <c r="J140" s="68">
        <f t="shared" ref="J140:K140" si="144">D140*1</f>
        <v>104</v>
      </c>
      <c r="K140" s="6">
        <f t="shared" si="144"/>
        <v>22305.03</v>
      </c>
      <c r="L140" s="6">
        <f t="shared" si="5"/>
        <v>13383.018</v>
      </c>
      <c r="M140" s="6">
        <f t="shared" si="6"/>
        <v>2319723.12</v>
      </c>
      <c r="N140" s="6">
        <f t="shared" si="7"/>
        <v>927889.248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70">
        <v>5957130.0</v>
      </c>
      <c r="G141" s="2">
        <v>922.0</v>
      </c>
      <c r="H141" s="6">
        <f t="shared" si="2"/>
        <v>3110.772</v>
      </c>
      <c r="I141" s="6">
        <f t="shared" si="3"/>
        <v>2382851.352</v>
      </c>
      <c r="J141" s="68">
        <f t="shared" ref="J141:K141" si="145">D141*1</f>
        <v>1149</v>
      </c>
      <c r="K141" s="6">
        <f t="shared" si="145"/>
        <v>5184.62</v>
      </c>
      <c r="L141" s="6">
        <f t="shared" si="5"/>
        <v>3110.772</v>
      </c>
      <c r="M141" s="6">
        <f t="shared" si="6"/>
        <v>5957128.38</v>
      </c>
      <c r="N141" s="6">
        <f t="shared" si="7"/>
        <v>2382851.352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70">
        <v>3733510.0</v>
      </c>
      <c r="G142" s="2">
        <v>164.0</v>
      </c>
      <c r="H142" s="6">
        <f t="shared" si="2"/>
        <v>12655.968</v>
      </c>
      <c r="I142" s="6">
        <f t="shared" si="3"/>
        <v>1493404.224</v>
      </c>
      <c r="J142" s="68">
        <f t="shared" ref="J142:K142" si="146">D142*1</f>
        <v>177</v>
      </c>
      <c r="K142" s="6">
        <f t="shared" si="146"/>
        <v>21093.28</v>
      </c>
      <c r="L142" s="6">
        <f t="shared" si="5"/>
        <v>12655.968</v>
      </c>
      <c r="M142" s="6">
        <f t="shared" si="6"/>
        <v>3733510.56</v>
      </c>
      <c r="N142" s="6">
        <f t="shared" si="7"/>
        <v>1493404.224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70">
        <v>804710.0</v>
      </c>
      <c r="G143" s="2">
        <v>549.0</v>
      </c>
      <c r="H143" s="6">
        <f t="shared" si="2"/>
        <v>645.492</v>
      </c>
      <c r="I143" s="6">
        <f t="shared" si="3"/>
        <v>321885.344</v>
      </c>
      <c r="J143" s="68">
        <f t="shared" ref="J143:K143" si="147">D143*1</f>
        <v>748</v>
      </c>
      <c r="K143" s="6">
        <f t="shared" si="147"/>
        <v>1075.82</v>
      </c>
      <c r="L143" s="6">
        <f t="shared" si="5"/>
        <v>645.492</v>
      </c>
      <c r="M143" s="6">
        <f t="shared" si="6"/>
        <v>804713.36</v>
      </c>
      <c r="N143" s="6">
        <f t="shared" si="7"/>
        <v>321885.344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70">
        <v>3377990.0</v>
      </c>
      <c r="G144" s="2">
        <v>143.0</v>
      </c>
      <c r="H144" s="6">
        <f t="shared" si="2"/>
        <v>12747.132</v>
      </c>
      <c r="I144" s="6">
        <f t="shared" si="3"/>
        <v>1351195.992</v>
      </c>
      <c r="J144" s="68">
        <f t="shared" ref="J144:K144" si="148">D144*1</f>
        <v>159</v>
      </c>
      <c r="K144" s="6">
        <f t="shared" si="148"/>
        <v>21245.22</v>
      </c>
      <c r="L144" s="6">
        <f t="shared" si="5"/>
        <v>12747.132</v>
      </c>
      <c r="M144" s="6">
        <f t="shared" si="6"/>
        <v>3377989.98</v>
      </c>
      <c r="N144" s="6">
        <f t="shared" si="7"/>
        <v>1351195.992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70">
        <v>3356397.0</v>
      </c>
      <c r="G145" s="2">
        <v>511.0</v>
      </c>
      <c r="H145" s="6">
        <f t="shared" si="2"/>
        <v>3141.714</v>
      </c>
      <c r="I145" s="6">
        <f t="shared" si="3"/>
        <v>1342559.116</v>
      </c>
      <c r="J145" s="68">
        <f t="shared" ref="J145:K145" si="149">D145*1</f>
        <v>641</v>
      </c>
      <c r="K145" s="6">
        <f t="shared" si="149"/>
        <v>5236.19</v>
      </c>
      <c r="L145" s="6">
        <f t="shared" si="5"/>
        <v>3141.714</v>
      </c>
      <c r="M145" s="6">
        <f t="shared" si="6"/>
        <v>3356397.79</v>
      </c>
      <c r="N145" s="6">
        <f t="shared" si="7"/>
        <v>1342559.116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70">
        <v>1968614.0</v>
      </c>
      <c r="G146" s="2">
        <v>234.0</v>
      </c>
      <c r="H146" s="6">
        <f t="shared" si="2"/>
        <v>3898.248</v>
      </c>
      <c r="I146" s="6">
        <f t="shared" si="3"/>
        <v>787446.096</v>
      </c>
      <c r="J146" s="68">
        <f t="shared" ref="J146:K146" si="150">D146*1</f>
        <v>303</v>
      </c>
      <c r="K146" s="6">
        <f t="shared" si="150"/>
        <v>6497.08</v>
      </c>
      <c r="L146" s="6">
        <f t="shared" si="5"/>
        <v>3898.248</v>
      </c>
      <c r="M146" s="6">
        <f t="shared" si="6"/>
        <v>1968615.24</v>
      </c>
      <c r="N146" s="6">
        <f t="shared" si="7"/>
        <v>787446.096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70">
        <v>3611327.0</v>
      </c>
      <c r="G147" s="2">
        <v>688.0</v>
      </c>
      <c r="H147" s="6">
        <f t="shared" si="2"/>
        <v>2912.358</v>
      </c>
      <c r="I147" s="6">
        <f t="shared" si="3"/>
        <v>1444529.568</v>
      </c>
      <c r="J147" s="68">
        <f t="shared" ref="J147:K147" si="151">D147*1</f>
        <v>744</v>
      </c>
      <c r="K147" s="6">
        <f t="shared" si="151"/>
        <v>4853.93</v>
      </c>
      <c r="L147" s="6">
        <f t="shared" si="5"/>
        <v>2912.358</v>
      </c>
      <c r="M147" s="6">
        <f t="shared" si="6"/>
        <v>3611323.92</v>
      </c>
      <c r="N147" s="6">
        <f t="shared" si="7"/>
        <v>1444529.568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70">
        <v>3296651.0</v>
      </c>
      <c r="G148" s="2">
        <v>110.0</v>
      </c>
      <c r="H148" s="6">
        <f t="shared" si="2"/>
        <v>13013.094</v>
      </c>
      <c r="I148" s="6">
        <f t="shared" si="3"/>
        <v>1318660.192</v>
      </c>
      <c r="J148" s="68">
        <f t="shared" ref="J148:K148" si="152">D148*1</f>
        <v>152</v>
      </c>
      <c r="K148" s="6">
        <f t="shared" si="152"/>
        <v>21688.49</v>
      </c>
      <c r="L148" s="6">
        <f t="shared" si="5"/>
        <v>13013.094</v>
      </c>
      <c r="M148" s="6">
        <f t="shared" si="6"/>
        <v>3296650.48</v>
      </c>
      <c r="N148" s="6">
        <f t="shared" si="7"/>
        <v>1318660.192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70">
        <v>2620016.0</v>
      </c>
      <c r="G149" s="2">
        <v>296.0</v>
      </c>
      <c r="H149" s="6">
        <f t="shared" si="2"/>
        <v>4158.756</v>
      </c>
      <c r="I149" s="6">
        <f t="shared" si="3"/>
        <v>1048006.512</v>
      </c>
      <c r="J149" s="68">
        <f t="shared" ref="J149:K149" si="153">D149*1</f>
        <v>378</v>
      </c>
      <c r="K149" s="6">
        <f t="shared" si="153"/>
        <v>6931.26</v>
      </c>
      <c r="L149" s="6">
        <f t="shared" si="5"/>
        <v>4158.756</v>
      </c>
      <c r="M149" s="6">
        <f t="shared" si="6"/>
        <v>2620016.28</v>
      </c>
      <c r="N149" s="6">
        <f t="shared" si="7"/>
        <v>1048006.512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70">
        <v>1068350.0</v>
      </c>
      <c r="G150" s="2">
        <v>647.0</v>
      </c>
      <c r="H150" s="6">
        <f t="shared" si="2"/>
        <v>730.914</v>
      </c>
      <c r="I150" s="6">
        <f t="shared" si="3"/>
        <v>427341.052</v>
      </c>
      <c r="J150" s="68">
        <f t="shared" ref="J150:K150" si="154">D150*1</f>
        <v>877</v>
      </c>
      <c r="K150" s="6">
        <f t="shared" si="154"/>
        <v>1218.19</v>
      </c>
      <c r="L150" s="6">
        <f t="shared" si="5"/>
        <v>730.914</v>
      </c>
      <c r="M150" s="6">
        <f t="shared" si="6"/>
        <v>1068352.63</v>
      </c>
      <c r="N150" s="6">
        <f t="shared" si="7"/>
        <v>427341.052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70">
        <v>3305939.0</v>
      </c>
      <c r="G151" s="2">
        <v>345.0</v>
      </c>
      <c r="H151" s="6">
        <f t="shared" si="2"/>
        <v>4064.682</v>
      </c>
      <c r="I151" s="6">
        <f t="shared" si="3"/>
        <v>1322376.544</v>
      </c>
      <c r="J151" s="68">
        <f t="shared" ref="J151:K151" si="155">D151*1</f>
        <v>488</v>
      </c>
      <c r="K151" s="6">
        <f t="shared" si="155"/>
        <v>6774.47</v>
      </c>
      <c r="L151" s="6">
        <f t="shared" si="5"/>
        <v>4064.682</v>
      </c>
      <c r="M151" s="6">
        <f t="shared" si="6"/>
        <v>3305941.36</v>
      </c>
      <c r="N151" s="6">
        <f t="shared" si="7"/>
        <v>1322376.544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70">
        <v>2207086.0</v>
      </c>
      <c r="G152" s="2">
        <v>94.0</v>
      </c>
      <c r="H152" s="6">
        <f t="shared" si="2"/>
        <v>12733.188</v>
      </c>
      <c r="I152" s="6">
        <f t="shared" si="3"/>
        <v>882834.368</v>
      </c>
      <c r="J152" s="68">
        <f t="shared" ref="J152:K152" si="156">D152*1</f>
        <v>104</v>
      </c>
      <c r="K152" s="6">
        <f t="shared" si="156"/>
        <v>21221.98</v>
      </c>
      <c r="L152" s="6">
        <f t="shared" si="5"/>
        <v>12733.188</v>
      </c>
      <c r="M152" s="6">
        <f t="shared" si="6"/>
        <v>2207085.92</v>
      </c>
      <c r="N152" s="6">
        <f t="shared" si="7"/>
        <v>882834.368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70">
        <v>1404791.0</v>
      </c>
      <c r="G153" s="2">
        <v>904.0</v>
      </c>
      <c r="H153" s="6">
        <f t="shared" si="2"/>
        <v>769.746</v>
      </c>
      <c r="I153" s="6">
        <f t="shared" si="3"/>
        <v>561914.58</v>
      </c>
      <c r="J153" s="68">
        <f t="shared" ref="J153:K153" si="157">D153*1</f>
        <v>1095</v>
      </c>
      <c r="K153" s="6">
        <f t="shared" si="157"/>
        <v>1282.91</v>
      </c>
      <c r="L153" s="6">
        <f t="shared" si="5"/>
        <v>769.746</v>
      </c>
      <c r="M153" s="6">
        <f t="shared" si="6"/>
        <v>1404786.45</v>
      </c>
      <c r="N153" s="6">
        <f t="shared" si="7"/>
        <v>561914.58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70">
        <v>3606521.0</v>
      </c>
      <c r="G154" s="2">
        <v>454.0</v>
      </c>
      <c r="H154" s="6">
        <f t="shared" si="2"/>
        <v>3349.71</v>
      </c>
      <c r="I154" s="6">
        <f t="shared" si="3"/>
        <v>1442608.44</v>
      </c>
      <c r="J154" s="68">
        <f t="shared" ref="J154:K154" si="158">D154*1</f>
        <v>646</v>
      </c>
      <c r="K154" s="6">
        <f t="shared" si="158"/>
        <v>5582.85</v>
      </c>
      <c r="L154" s="6">
        <f t="shared" si="5"/>
        <v>3349.71</v>
      </c>
      <c r="M154" s="6">
        <f t="shared" si="6"/>
        <v>3606521.1</v>
      </c>
      <c r="N154" s="6">
        <f t="shared" si="7"/>
        <v>1442608.44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70">
        <v>796475.0</v>
      </c>
      <c r="G155" s="2">
        <v>607.0</v>
      </c>
      <c r="H155" s="6">
        <f t="shared" si="2"/>
        <v>691.584</v>
      </c>
      <c r="I155" s="6">
        <f t="shared" si="3"/>
        <v>318589.696</v>
      </c>
      <c r="J155" s="68">
        <f t="shared" ref="J155:K155" si="159">D155*1</f>
        <v>691</v>
      </c>
      <c r="K155" s="6">
        <f t="shared" si="159"/>
        <v>1152.64</v>
      </c>
      <c r="L155" s="6">
        <f t="shared" si="5"/>
        <v>691.584</v>
      </c>
      <c r="M155" s="6">
        <f t="shared" si="6"/>
        <v>796474.24</v>
      </c>
      <c r="N155" s="6">
        <f t="shared" si="7"/>
        <v>318589.696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70">
        <v>3058284.0</v>
      </c>
      <c r="G156" s="2">
        <v>362.0</v>
      </c>
      <c r="H156" s="6">
        <f t="shared" si="2"/>
        <v>4050.708</v>
      </c>
      <c r="I156" s="6">
        <f t="shared" si="3"/>
        <v>1223313.816</v>
      </c>
      <c r="J156" s="68">
        <f t="shared" ref="J156:K156" si="160">D156*1</f>
        <v>453</v>
      </c>
      <c r="K156" s="6">
        <f t="shared" si="160"/>
        <v>6751.18</v>
      </c>
      <c r="L156" s="6">
        <f t="shared" si="5"/>
        <v>4050.708</v>
      </c>
      <c r="M156" s="6">
        <f t="shared" si="6"/>
        <v>3058284.54</v>
      </c>
      <c r="N156" s="6">
        <f t="shared" si="7"/>
        <v>1223313.816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70">
        <v>791954.0</v>
      </c>
      <c r="G157" s="2">
        <v>522.0</v>
      </c>
      <c r="H157" s="6">
        <f t="shared" si="2"/>
        <v>770.136</v>
      </c>
      <c r="I157" s="6">
        <f t="shared" si="3"/>
        <v>316782.608</v>
      </c>
      <c r="J157" s="68">
        <f t="shared" ref="J157:K157" si="161">D157*1</f>
        <v>617</v>
      </c>
      <c r="K157" s="6">
        <f t="shared" si="161"/>
        <v>1283.56</v>
      </c>
      <c r="L157" s="6">
        <f t="shared" si="5"/>
        <v>770.136</v>
      </c>
      <c r="M157" s="6">
        <f t="shared" si="6"/>
        <v>791956.52</v>
      </c>
      <c r="N157" s="6">
        <f t="shared" si="7"/>
        <v>316782.608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70">
        <v>5867913.0</v>
      </c>
      <c r="G158" s="2">
        <v>840.0</v>
      </c>
      <c r="H158" s="6">
        <f t="shared" si="2"/>
        <v>3324.594</v>
      </c>
      <c r="I158" s="6">
        <f t="shared" si="3"/>
        <v>2347163.364</v>
      </c>
      <c r="J158" s="68">
        <f t="shared" ref="J158:K158" si="162">D158*1</f>
        <v>1059</v>
      </c>
      <c r="K158" s="6">
        <f t="shared" si="162"/>
        <v>5540.99</v>
      </c>
      <c r="L158" s="6">
        <f t="shared" si="5"/>
        <v>3324.594</v>
      </c>
      <c r="M158" s="6">
        <f t="shared" si="6"/>
        <v>5867908.41</v>
      </c>
      <c r="N158" s="6">
        <f t="shared" si="7"/>
        <v>2347163.364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70">
        <v>1573594.0</v>
      </c>
      <c r="G159" s="2">
        <v>165.0</v>
      </c>
      <c r="H159" s="6">
        <f t="shared" si="2"/>
        <v>4141.038</v>
      </c>
      <c r="I159" s="6">
        <f t="shared" si="3"/>
        <v>629437.776</v>
      </c>
      <c r="J159" s="68">
        <f t="shared" ref="J159:K159" si="163">D159*1</f>
        <v>228</v>
      </c>
      <c r="K159" s="6">
        <f t="shared" si="163"/>
        <v>6901.73</v>
      </c>
      <c r="L159" s="6">
        <f t="shared" si="5"/>
        <v>4141.038</v>
      </c>
      <c r="M159" s="6">
        <f t="shared" si="6"/>
        <v>1573594.44</v>
      </c>
      <c r="N159" s="6">
        <f t="shared" si="7"/>
        <v>629437.776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70">
        <v>3402493.0</v>
      </c>
      <c r="G160" s="2">
        <v>364.0</v>
      </c>
      <c r="H160" s="6">
        <f t="shared" si="2"/>
        <v>4476.966</v>
      </c>
      <c r="I160" s="6">
        <f t="shared" si="3"/>
        <v>1360997.664</v>
      </c>
      <c r="J160" s="68">
        <f t="shared" ref="J160:K160" si="164">D160*1</f>
        <v>456</v>
      </c>
      <c r="K160" s="6">
        <f t="shared" si="164"/>
        <v>7461.61</v>
      </c>
      <c r="L160" s="6">
        <f t="shared" si="5"/>
        <v>4476.966</v>
      </c>
      <c r="M160" s="6">
        <f t="shared" si="6"/>
        <v>3402494.16</v>
      </c>
      <c r="N160" s="6">
        <f t="shared" si="7"/>
        <v>1360997.664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70">
        <v>4329237.0</v>
      </c>
      <c r="G161" s="2">
        <v>721.0</v>
      </c>
      <c r="H161" s="6">
        <f t="shared" si="2"/>
        <v>3242.874</v>
      </c>
      <c r="I161" s="6">
        <f t="shared" si="3"/>
        <v>1731694.716</v>
      </c>
      <c r="J161" s="68">
        <f t="shared" ref="J161:K161" si="165">D161*1</f>
        <v>801</v>
      </c>
      <c r="K161" s="6">
        <f t="shared" si="165"/>
        <v>5404.79</v>
      </c>
      <c r="L161" s="6">
        <f t="shared" si="5"/>
        <v>3242.874</v>
      </c>
      <c r="M161" s="6">
        <f t="shared" si="6"/>
        <v>4329236.79</v>
      </c>
      <c r="N161" s="6">
        <f t="shared" si="7"/>
        <v>1731694.716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70">
        <v>6469159.0</v>
      </c>
      <c r="G162" s="2">
        <v>1092.0</v>
      </c>
      <c r="H162" s="6">
        <f t="shared" si="2"/>
        <v>3306.216</v>
      </c>
      <c r="I162" s="6">
        <f t="shared" si="3"/>
        <v>2587665.056</v>
      </c>
      <c r="J162" s="68">
        <f t="shared" ref="J162:K162" si="166">D162*1</f>
        <v>1174</v>
      </c>
      <c r="K162" s="6">
        <f t="shared" si="166"/>
        <v>5510.36</v>
      </c>
      <c r="L162" s="6">
        <f t="shared" si="5"/>
        <v>3306.216</v>
      </c>
      <c r="M162" s="6">
        <f t="shared" si="6"/>
        <v>6469162.64</v>
      </c>
      <c r="N162" s="6">
        <f t="shared" si="7"/>
        <v>2587665.056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70">
        <v>1431171.0</v>
      </c>
      <c r="G163" s="2">
        <v>182.0</v>
      </c>
      <c r="H163" s="6">
        <f t="shared" si="2"/>
        <v>3975.474</v>
      </c>
      <c r="I163" s="6">
        <f t="shared" si="3"/>
        <v>572468.256</v>
      </c>
      <c r="J163" s="68">
        <f t="shared" ref="J163:K163" si="167">D163*1</f>
        <v>216</v>
      </c>
      <c r="K163" s="6">
        <f t="shared" si="167"/>
        <v>6625.79</v>
      </c>
      <c r="L163" s="6">
        <f t="shared" si="5"/>
        <v>3975.474</v>
      </c>
      <c r="M163" s="6">
        <f t="shared" si="6"/>
        <v>1431170.64</v>
      </c>
      <c r="N163" s="6">
        <f t="shared" si="7"/>
        <v>572468.256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70">
        <v>394452.0</v>
      </c>
      <c r="G164" s="2">
        <v>393.0</v>
      </c>
      <c r="H164" s="6">
        <f t="shared" si="2"/>
        <v>558.186</v>
      </c>
      <c r="I164" s="6">
        <f t="shared" si="3"/>
        <v>157780.576</v>
      </c>
      <c r="J164" s="68">
        <f t="shared" ref="J164:K164" si="168">D164*1</f>
        <v>424</v>
      </c>
      <c r="K164" s="6">
        <f t="shared" si="168"/>
        <v>930.31</v>
      </c>
      <c r="L164" s="6">
        <f t="shared" si="5"/>
        <v>558.186</v>
      </c>
      <c r="M164" s="6">
        <f t="shared" si="6"/>
        <v>394451.44</v>
      </c>
      <c r="N164" s="6">
        <f t="shared" si="7"/>
        <v>157780.576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70">
        <v>4570248.0</v>
      </c>
      <c r="G165" s="2">
        <v>184.0</v>
      </c>
      <c r="H165" s="6">
        <f t="shared" si="2"/>
        <v>12873.936</v>
      </c>
      <c r="I165" s="6">
        <f t="shared" si="3"/>
        <v>1828098.912</v>
      </c>
      <c r="J165" s="68">
        <f t="shared" ref="J165:K165" si="169">D165*1</f>
        <v>213</v>
      </c>
      <c r="K165" s="6">
        <f t="shared" si="169"/>
        <v>21456.56</v>
      </c>
      <c r="L165" s="6">
        <f t="shared" si="5"/>
        <v>12873.936</v>
      </c>
      <c r="M165" s="6">
        <f t="shared" si="6"/>
        <v>4570247.28</v>
      </c>
      <c r="N165" s="6">
        <f t="shared" si="7"/>
        <v>1828098.912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70">
        <v>891564.0</v>
      </c>
      <c r="G166" s="2">
        <v>548.0</v>
      </c>
      <c r="H166" s="6">
        <f t="shared" si="2"/>
        <v>703.866</v>
      </c>
      <c r="I166" s="6">
        <f t="shared" si="3"/>
        <v>356625.44</v>
      </c>
      <c r="J166" s="68">
        <f t="shared" ref="J166:K166" si="170">D166*1</f>
        <v>760</v>
      </c>
      <c r="K166" s="6">
        <f t="shared" si="170"/>
        <v>1173.11</v>
      </c>
      <c r="L166" s="6">
        <f t="shared" si="5"/>
        <v>703.866</v>
      </c>
      <c r="M166" s="6">
        <f t="shared" si="6"/>
        <v>891563.6</v>
      </c>
      <c r="N166" s="6">
        <f t="shared" si="7"/>
        <v>356625.44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70">
        <v>2903827.0</v>
      </c>
      <c r="G167" s="2">
        <v>354.0</v>
      </c>
      <c r="H167" s="6">
        <f t="shared" si="2"/>
        <v>3820.824</v>
      </c>
      <c r="I167" s="6">
        <f t="shared" si="3"/>
        <v>1161530.496</v>
      </c>
      <c r="J167" s="68">
        <f t="shared" ref="J167:K167" si="171">D167*1</f>
        <v>456</v>
      </c>
      <c r="K167" s="6">
        <f t="shared" si="171"/>
        <v>6368.04</v>
      </c>
      <c r="L167" s="6">
        <f t="shared" si="5"/>
        <v>3820.824</v>
      </c>
      <c r="M167" s="6">
        <f t="shared" si="6"/>
        <v>2903826.24</v>
      </c>
      <c r="N167" s="6">
        <f t="shared" si="7"/>
        <v>1161530.496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70">
        <v>2691893.0</v>
      </c>
      <c r="G168" s="2">
        <v>351.0</v>
      </c>
      <c r="H168" s="6">
        <f t="shared" si="2"/>
        <v>3939.354</v>
      </c>
      <c r="I168" s="6">
        <f t="shared" si="3"/>
        <v>1076756.76</v>
      </c>
      <c r="J168" s="68">
        <f t="shared" ref="J168:K168" si="172">D168*1</f>
        <v>410</v>
      </c>
      <c r="K168" s="6">
        <f t="shared" si="172"/>
        <v>6565.59</v>
      </c>
      <c r="L168" s="6">
        <f t="shared" si="5"/>
        <v>3939.354</v>
      </c>
      <c r="M168" s="6">
        <f t="shared" si="6"/>
        <v>2691891.9</v>
      </c>
      <c r="N168" s="6">
        <f t="shared" si="7"/>
        <v>1076756.76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70">
        <v>1980072.0</v>
      </c>
      <c r="G169" s="2">
        <v>89.0</v>
      </c>
      <c r="H169" s="6">
        <f t="shared" si="2"/>
        <v>11880.432</v>
      </c>
      <c r="I169" s="6">
        <f t="shared" si="3"/>
        <v>792028.8</v>
      </c>
      <c r="J169" s="68">
        <f t="shared" ref="J169:K169" si="173">D169*1</f>
        <v>100</v>
      </c>
      <c r="K169" s="6">
        <f t="shared" si="173"/>
        <v>19800.72</v>
      </c>
      <c r="L169" s="6">
        <f t="shared" si="5"/>
        <v>11880.432</v>
      </c>
      <c r="M169" s="6">
        <f t="shared" si="6"/>
        <v>1980072</v>
      </c>
      <c r="N169" s="6">
        <f t="shared" si="7"/>
        <v>792028.8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70">
        <v>4769336.0</v>
      </c>
      <c r="G170" s="2">
        <v>156.0</v>
      </c>
      <c r="H170" s="6">
        <f t="shared" si="2"/>
        <v>13498.122</v>
      </c>
      <c r="I170" s="6">
        <f t="shared" si="3"/>
        <v>1907734.576</v>
      </c>
      <c r="J170" s="68">
        <f t="shared" ref="J170:K170" si="174">D170*1</f>
        <v>212</v>
      </c>
      <c r="K170" s="6">
        <f t="shared" si="174"/>
        <v>22496.87</v>
      </c>
      <c r="L170" s="6">
        <f t="shared" si="5"/>
        <v>13498.122</v>
      </c>
      <c r="M170" s="6">
        <f t="shared" si="6"/>
        <v>4769336.44</v>
      </c>
      <c r="N170" s="6">
        <f t="shared" si="7"/>
        <v>1907734.576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70">
        <v>3195001.0</v>
      </c>
      <c r="G171" s="2">
        <v>612.0</v>
      </c>
      <c r="H171" s="6">
        <f t="shared" si="2"/>
        <v>2931.192</v>
      </c>
      <c r="I171" s="6">
        <f t="shared" si="3"/>
        <v>1277999.712</v>
      </c>
      <c r="J171" s="68">
        <f t="shared" ref="J171:K171" si="175">D171*1</f>
        <v>654</v>
      </c>
      <c r="K171" s="6">
        <f t="shared" si="175"/>
        <v>4885.32</v>
      </c>
      <c r="L171" s="6">
        <f t="shared" si="5"/>
        <v>2931.192</v>
      </c>
      <c r="M171" s="6">
        <f t="shared" si="6"/>
        <v>3194999.28</v>
      </c>
      <c r="N171" s="6">
        <f t="shared" si="7"/>
        <v>1277999.712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70">
        <v>2379507.0</v>
      </c>
      <c r="G172" s="2">
        <v>266.0</v>
      </c>
      <c r="H172" s="6">
        <f t="shared" si="2"/>
        <v>3954.858</v>
      </c>
      <c r="I172" s="6">
        <f t="shared" si="3"/>
        <v>951802.492</v>
      </c>
      <c r="J172" s="68">
        <f t="shared" ref="J172:K172" si="176">D172*1</f>
        <v>361</v>
      </c>
      <c r="K172" s="6">
        <f t="shared" si="176"/>
        <v>6591.43</v>
      </c>
      <c r="L172" s="6">
        <f t="shared" si="5"/>
        <v>3954.858</v>
      </c>
      <c r="M172" s="6">
        <f t="shared" si="6"/>
        <v>2379506.23</v>
      </c>
      <c r="N172" s="6">
        <f t="shared" si="7"/>
        <v>951802.492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70">
        <v>3208652.0</v>
      </c>
      <c r="G173" s="2">
        <v>429.0</v>
      </c>
      <c r="H173" s="6">
        <f t="shared" si="2"/>
        <v>3171.648</v>
      </c>
      <c r="I173" s="6">
        <f t="shared" si="3"/>
        <v>1283460.224</v>
      </c>
      <c r="J173" s="68">
        <f t="shared" ref="J173:K173" si="177">D173*1</f>
        <v>607</v>
      </c>
      <c r="K173" s="6">
        <f t="shared" si="177"/>
        <v>5286.08</v>
      </c>
      <c r="L173" s="6">
        <f t="shared" si="5"/>
        <v>3171.648</v>
      </c>
      <c r="M173" s="6">
        <f t="shared" si="6"/>
        <v>3208650.56</v>
      </c>
      <c r="N173" s="6">
        <f t="shared" si="7"/>
        <v>1283460.224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70">
        <v>1226910.0</v>
      </c>
      <c r="G174" s="2">
        <v>660.0</v>
      </c>
      <c r="H174" s="6">
        <f t="shared" si="2"/>
        <v>874.284</v>
      </c>
      <c r="I174" s="6">
        <f t="shared" si="3"/>
        <v>490764.752</v>
      </c>
      <c r="J174" s="68">
        <f t="shared" ref="J174:K174" si="178">D174*1</f>
        <v>842</v>
      </c>
      <c r="K174" s="6">
        <f t="shared" si="178"/>
        <v>1457.14</v>
      </c>
      <c r="L174" s="6">
        <f t="shared" si="5"/>
        <v>874.284</v>
      </c>
      <c r="M174" s="6">
        <f t="shared" si="6"/>
        <v>1226911.88</v>
      </c>
      <c r="N174" s="6">
        <f t="shared" si="7"/>
        <v>490764.752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70">
        <v>1996432.0</v>
      </c>
      <c r="G175" s="2">
        <v>248.0</v>
      </c>
      <c r="H175" s="6">
        <f t="shared" si="2"/>
        <v>4046.82</v>
      </c>
      <c r="I175" s="6">
        <f t="shared" si="3"/>
        <v>798572.48</v>
      </c>
      <c r="J175" s="68">
        <f t="shared" ref="J175:K175" si="179">D175*1</f>
        <v>296</v>
      </c>
      <c r="K175" s="6">
        <f t="shared" si="179"/>
        <v>6744.7</v>
      </c>
      <c r="L175" s="6">
        <f t="shared" si="5"/>
        <v>4046.82</v>
      </c>
      <c r="M175" s="6">
        <f t="shared" si="6"/>
        <v>1996431.2</v>
      </c>
      <c r="N175" s="6">
        <f t="shared" si="7"/>
        <v>798572.48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70">
        <v>1977651.0</v>
      </c>
      <c r="G176" s="2">
        <v>266.0</v>
      </c>
      <c r="H176" s="6">
        <f t="shared" si="2"/>
        <v>4022.34</v>
      </c>
      <c r="I176" s="6">
        <f t="shared" si="3"/>
        <v>791060.2</v>
      </c>
      <c r="J176" s="68">
        <f t="shared" ref="J176:K176" si="180">D176*1</f>
        <v>295</v>
      </c>
      <c r="K176" s="6">
        <f t="shared" si="180"/>
        <v>6703.9</v>
      </c>
      <c r="L176" s="6">
        <f t="shared" si="5"/>
        <v>4022.34</v>
      </c>
      <c r="M176" s="6">
        <f t="shared" si="6"/>
        <v>1977650.5</v>
      </c>
      <c r="N176" s="6">
        <f t="shared" si="7"/>
        <v>791060.2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70">
        <v>4148917.0</v>
      </c>
      <c r="G177" s="2">
        <v>586.0</v>
      </c>
      <c r="H177" s="6">
        <f t="shared" si="2"/>
        <v>3187.386</v>
      </c>
      <c r="I177" s="6">
        <f t="shared" si="3"/>
        <v>1659565.644</v>
      </c>
      <c r="J177" s="68">
        <f t="shared" ref="J177:K177" si="181">D177*1</f>
        <v>781</v>
      </c>
      <c r="K177" s="6">
        <f t="shared" si="181"/>
        <v>5312.31</v>
      </c>
      <c r="L177" s="6">
        <f t="shared" si="5"/>
        <v>3187.386</v>
      </c>
      <c r="M177" s="6">
        <f t="shared" si="6"/>
        <v>4148914.11</v>
      </c>
      <c r="N177" s="6">
        <f t="shared" si="7"/>
        <v>1659565.644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70">
        <v>3190873.0</v>
      </c>
      <c r="G178" s="2">
        <v>337.0</v>
      </c>
      <c r="H178" s="6">
        <f t="shared" si="2"/>
        <v>4143.99</v>
      </c>
      <c r="I178" s="6">
        <f t="shared" si="3"/>
        <v>1276348.92</v>
      </c>
      <c r="J178" s="68">
        <f t="shared" ref="J178:K178" si="182">D178*1</f>
        <v>462</v>
      </c>
      <c r="K178" s="6">
        <f t="shared" si="182"/>
        <v>6906.65</v>
      </c>
      <c r="L178" s="6">
        <f t="shared" si="5"/>
        <v>4143.99</v>
      </c>
      <c r="M178" s="6">
        <f t="shared" si="6"/>
        <v>3190872.3</v>
      </c>
      <c r="N178" s="6">
        <f t="shared" si="7"/>
        <v>1276348.92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70">
        <v>3672876.0</v>
      </c>
      <c r="G179" s="2">
        <v>628.0</v>
      </c>
      <c r="H179" s="6">
        <f t="shared" si="2"/>
        <v>3236.016</v>
      </c>
      <c r="I179" s="6">
        <f t="shared" si="3"/>
        <v>1469151.264</v>
      </c>
      <c r="J179" s="68">
        <f t="shared" ref="J179:K179" si="183">D179*1</f>
        <v>681</v>
      </c>
      <c r="K179" s="6">
        <f t="shared" si="183"/>
        <v>5393.36</v>
      </c>
      <c r="L179" s="6">
        <f t="shared" si="5"/>
        <v>3236.016</v>
      </c>
      <c r="M179" s="6">
        <f t="shared" si="6"/>
        <v>3672878.16</v>
      </c>
      <c r="N179" s="6">
        <f t="shared" si="7"/>
        <v>1469151.264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70">
        <v>2841539.0</v>
      </c>
      <c r="G180" s="2">
        <v>306.0</v>
      </c>
      <c r="H180" s="6">
        <f t="shared" si="2"/>
        <v>3937.47</v>
      </c>
      <c r="I180" s="6">
        <f t="shared" si="3"/>
        <v>1136616.34</v>
      </c>
      <c r="J180" s="68">
        <f t="shared" ref="J180:K180" si="184">D180*1</f>
        <v>433</v>
      </c>
      <c r="K180" s="6">
        <f t="shared" si="184"/>
        <v>6562.45</v>
      </c>
      <c r="L180" s="6">
        <f t="shared" si="5"/>
        <v>3937.47</v>
      </c>
      <c r="M180" s="6">
        <f t="shared" si="6"/>
        <v>2841540.85</v>
      </c>
      <c r="N180" s="6">
        <f t="shared" si="7"/>
        <v>1136616.34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70">
        <v>4717640.0</v>
      </c>
      <c r="G181" s="2">
        <v>716.0</v>
      </c>
      <c r="H181" s="6">
        <f t="shared" si="2"/>
        <v>3310.626</v>
      </c>
      <c r="I181" s="6">
        <f t="shared" si="3"/>
        <v>1887056.82</v>
      </c>
      <c r="J181" s="68">
        <f t="shared" ref="J181:K181" si="185">D181*1</f>
        <v>855</v>
      </c>
      <c r="K181" s="6">
        <f t="shared" si="185"/>
        <v>5517.71</v>
      </c>
      <c r="L181" s="6">
        <f t="shared" si="5"/>
        <v>3310.626</v>
      </c>
      <c r="M181" s="6">
        <f t="shared" si="6"/>
        <v>4717642.05</v>
      </c>
      <c r="N181" s="6">
        <f t="shared" si="7"/>
        <v>1887056.82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70">
        <v>1093761.0</v>
      </c>
      <c r="G182" s="2">
        <v>850.0</v>
      </c>
      <c r="H182" s="6">
        <f t="shared" si="2"/>
        <v>729.984</v>
      </c>
      <c r="I182" s="6">
        <f t="shared" si="3"/>
        <v>437503.744</v>
      </c>
      <c r="J182" s="68">
        <f t="shared" ref="J182:K182" si="186">D182*1</f>
        <v>899</v>
      </c>
      <c r="K182" s="6">
        <f t="shared" si="186"/>
        <v>1216.64</v>
      </c>
      <c r="L182" s="6">
        <f t="shared" si="5"/>
        <v>729.984</v>
      </c>
      <c r="M182" s="6">
        <f t="shared" si="6"/>
        <v>1093759.36</v>
      </c>
      <c r="N182" s="6">
        <f t="shared" si="7"/>
        <v>437503.744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70">
        <v>4433912.0</v>
      </c>
      <c r="G183" s="2">
        <v>177.0</v>
      </c>
      <c r="H183" s="6">
        <f t="shared" si="2"/>
        <v>12431.532</v>
      </c>
      <c r="I183" s="6">
        <f t="shared" si="3"/>
        <v>1773565.232</v>
      </c>
      <c r="J183" s="68">
        <f t="shared" ref="J183:K183" si="187">D183*1</f>
        <v>214</v>
      </c>
      <c r="K183" s="6">
        <f t="shared" si="187"/>
        <v>20719.22</v>
      </c>
      <c r="L183" s="6">
        <f t="shared" si="5"/>
        <v>12431.532</v>
      </c>
      <c r="M183" s="6">
        <f t="shared" si="6"/>
        <v>4433913.08</v>
      </c>
      <c r="N183" s="6">
        <f t="shared" si="7"/>
        <v>1773565.232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70">
        <v>2604213.0</v>
      </c>
      <c r="G184" s="2">
        <v>112.0</v>
      </c>
      <c r="H184" s="6">
        <f t="shared" si="2"/>
        <v>12601.032</v>
      </c>
      <c r="I184" s="6">
        <f t="shared" si="3"/>
        <v>1041685.312</v>
      </c>
      <c r="J184" s="68">
        <f t="shared" ref="J184:K184" si="188">D184*1</f>
        <v>124</v>
      </c>
      <c r="K184" s="6">
        <f t="shared" si="188"/>
        <v>21001.72</v>
      </c>
      <c r="L184" s="6">
        <f t="shared" si="5"/>
        <v>12601.032</v>
      </c>
      <c r="M184" s="6">
        <f t="shared" si="6"/>
        <v>2604213.28</v>
      </c>
      <c r="N184" s="6">
        <f t="shared" si="7"/>
        <v>1041685.312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70">
        <v>2709182.0</v>
      </c>
      <c r="G185" s="2">
        <v>95.0</v>
      </c>
      <c r="H185" s="6">
        <f t="shared" si="2"/>
        <v>12699.294</v>
      </c>
      <c r="I185" s="6">
        <f t="shared" si="3"/>
        <v>1083673.088</v>
      </c>
      <c r="J185" s="68">
        <f t="shared" ref="J185:K185" si="189">D185*1</f>
        <v>128</v>
      </c>
      <c r="K185" s="6">
        <f t="shared" si="189"/>
        <v>21165.49</v>
      </c>
      <c r="L185" s="6">
        <f t="shared" si="5"/>
        <v>12699.294</v>
      </c>
      <c r="M185" s="6">
        <f t="shared" si="6"/>
        <v>2709182.72</v>
      </c>
      <c r="N185" s="6">
        <f t="shared" si="7"/>
        <v>1083673.088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70">
        <v>2450888.0</v>
      </c>
      <c r="G186" s="2">
        <v>284.0</v>
      </c>
      <c r="H186" s="6">
        <f t="shared" si="2"/>
        <v>4262.412</v>
      </c>
      <c r="I186" s="6">
        <f t="shared" si="3"/>
        <v>980354.76</v>
      </c>
      <c r="J186" s="68">
        <f t="shared" ref="J186:K186" si="190">D186*1</f>
        <v>345</v>
      </c>
      <c r="K186" s="6">
        <f t="shared" si="190"/>
        <v>7104.02</v>
      </c>
      <c r="L186" s="6">
        <f t="shared" si="5"/>
        <v>4262.412</v>
      </c>
      <c r="M186" s="6">
        <f t="shared" si="6"/>
        <v>2450886.9</v>
      </c>
      <c r="N186" s="6">
        <f t="shared" si="7"/>
        <v>980354.76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70">
        <v>4004670.0</v>
      </c>
      <c r="G187" s="2">
        <v>619.0</v>
      </c>
      <c r="H187" s="6">
        <f t="shared" si="2"/>
        <v>3195.216</v>
      </c>
      <c r="I187" s="6">
        <f t="shared" si="3"/>
        <v>1601868.288</v>
      </c>
      <c r="J187" s="68">
        <f t="shared" ref="J187:K187" si="191">D187*1</f>
        <v>752</v>
      </c>
      <c r="K187" s="6">
        <f t="shared" si="191"/>
        <v>5325.36</v>
      </c>
      <c r="L187" s="6">
        <f t="shared" si="5"/>
        <v>3195.216</v>
      </c>
      <c r="M187" s="6">
        <f t="shared" si="6"/>
        <v>4004670.72</v>
      </c>
      <c r="N187" s="6">
        <f t="shared" si="7"/>
        <v>1601868.288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70">
        <v>4015392.0</v>
      </c>
      <c r="G188" s="2">
        <v>157.0</v>
      </c>
      <c r="H188" s="6">
        <f t="shared" si="2"/>
        <v>13022.892</v>
      </c>
      <c r="I188" s="6">
        <f t="shared" si="3"/>
        <v>1606156.68</v>
      </c>
      <c r="J188" s="68">
        <f t="shared" ref="J188:K188" si="192">D188*1</f>
        <v>185</v>
      </c>
      <c r="K188" s="6">
        <f t="shared" si="192"/>
        <v>21704.82</v>
      </c>
      <c r="L188" s="6">
        <f t="shared" si="5"/>
        <v>13022.892</v>
      </c>
      <c r="M188" s="6">
        <f t="shared" si="6"/>
        <v>4015391.7</v>
      </c>
      <c r="N188" s="6">
        <f t="shared" si="7"/>
        <v>1606156.68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70">
        <v>2602068.0</v>
      </c>
      <c r="G189" s="2">
        <v>338.0</v>
      </c>
      <c r="H189" s="6">
        <f t="shared" si="2"/>
        <v>4196.886</v>
      </c>
      <c r="I189" s="6">
        <f t="shared" si="3"/>
        <v>1040827.728</v>
      </c>
      <c r="J189" s="68">
        <f t="shared" ref="J189:K189" si="193">D189*1</f>
        <v>372</v>
      </c>
      <c r="K189" s="6">
        <f t="shared" si="193"/>
        <v>6994.81</v>
      </c>
      <c r="L189" s="6">
        <f t="shared" si="5"/>
        <v>4196.886</v>
      </c>
      <c r="M189" s="6">
        <f t="shared" si="6"/>
        <v>2602069.32</v>
      </c>
      <c r="N189" s="6">
        <f t="shared" si="7"/>
        <v>1040827.728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70">
        <v>4423574.0</v>
      </c>
      <c r="G190" s="2">
        <v>207.0</v>
      </c>
      <c r="H190" s="6">
        <f t="shared" si="2"/>
        <v>12009.702</v>
      </c>
      <c r="I190" s="6">
        <f t="shared" si="3"/>
        <v>1769429.428</v>
      </c>
      <c r="J190" s="68">
        <f t="shared" ref="J190:K190" si="194">D190*1</f>
        <v>221</v>
      </c>
      <c r="K190" s="6">
        <f t="shared" si="194"/>
        <v>20016.17</v>
      </c>
      <c r="L190" s="6">
        <f t="shared" si="5"/>
        <v>12009.702</v>
      </c>
      <c r="M190" s="6">
        <f t="shared" si="6"/>
        <v>4423573.57</v>
      </c>
      <c r="N190" s="6">
        <f t="shared" si="7"/>
        <v>1769429.428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70">
        <v>4545956.0</v>
      </c>
      <c r="G191" s="2">
        <v>795.0</v>
      </c>
      <c r="H191" s="6">
        <f t="shared" si="2"/>
        <v>3061.248</v>
      </c>
      <c r="I191" s="6">
        <f t="shared" si="3"/>
        <v>1818381.312</v>
      </c>
      <c r="J191" s="68">
        <f t="shared" ref="J191:K191" si="195">D191*1</f>
        <v>891</v>
      </c>
      <c r="K191" s="6">
        <f t="shared" si="195"/>
        <v>5102.08</v>
      </c>
      <c r="L191" s="6">
        <f t="shared" si="5"/>
        <v>3061.248</v>
      </c>
      <c r="M191" s="6">
        <f t="shared" si="6"/>
        <v>4545953.28</v>
      </c>
      <c r="N191" s="6">
        <f t="shared" si="7"/>
        <v>1818381.312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70">
        <v>546994.0</v>
      </c>
      <c r="G192" s="2">
        <v>317.0</v>
      </c>
      <c r="H192" s="6">
        <f t="shared" si="2"/>
        <v>800.478</v>
      </c>
      <c r="I192" s="6">
        <f t="shared" si="3"/>
        <v>218797.32</v>
      </c>
      <c r="J192" s="68">
        <f t="shared" ref="J192:K192" si="196">D192*1</f>
        <v>410</v>
      </c>
      <c r="K192" s="6">
        <f t="shared" si="196"/>
        <v>1334.13</v>
      </c>
      <c r="L192" s="6">
        <f t="shared" si="5"/>
        <v>800.478</v>
      </c>
      <c r="M192" s="6">
        <f t="shared" si="6"/>
        <v>546993.3</v>
      </c>
      <c r="N192" s="6">
        <f t="shared" si="7"/>
        <v>218797.32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70">
        <v>3202119.0</v>
      </c>
      <c r="G193" s="2">
        <v>133.0</v>
      </c>
      <c r="H193" s="6">
        <f t="shared" si="2"/>
        <v>12475.788</v>
      </c>
      <c r="I193" s="6">
        <f t="shared" si="3"/>
        <v>1280847.568</v>
      </c>
      <c r="J193" s="68">
        <f t="shared" ref="J193:K193" si="197">D193*1</f>
        <v>154</v>
      </c>
      <c r="K193" s="6">
        <f t="shared" si="197"/>
        <v>20792.98</v>
      </c>
      <c r="L193" s="6">
        <f t="shared" si="5"/>
        <v>12475.788</v>
      </c>
      <c r="M193" s="6">
        <f t="shared" si="6"/>
        <v>3202118.92</v>
      </c>
      <c r="N193" s="6">
        <f t="shared" si="7"/>
        <v>1280847.568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70">
        <v>4938999.0</v>
      </c>
      <c r="G194" s="2">
        <v>649.0</v>
      </c>
      <c r="H194" s="6">
        <f t="shared" si="2"/>
        <v>3252.906</v>
      </c>
      <c r="I194" s="6">
        <f t="shared" si="3"/>
        <v>1975598.244</v>
      </c>
      <c r="J194" s="68">
        <f t="shared" ref="J194:K194" si="198">D194*1</f>
        <v>911</v>
      </c>
      <c r="K194" s="6">
        <f t="shared" si="198"/>
        <v>5421.51</v>
      </c>
      <c r="L194" s="6">
        <f t="shared" si="5"/>
        <v>3252.906</v>
      </c>
      <c r="M194" s="6">
        <f t="shared" si="6"/>
        <v>4938995.61</v>
      </c>
      <c r="N194" s="6">
        <f t="shared" si="7"/>
        <v>1975598.244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70">
        <v>3488961.0</v>
      </c>
      <c r="G195" s="2">
        <v>123.0</v>
      </c>
      <c r="H195" s="6">
        <f t="shared" si="2"/>
        <v>12170.796</v>
      </c>
      <c r="I195" s="6">
        <f t="shared" si="3"/>
        <v>1395584.608</v>
      </c>
      <c r="J195" s="68">
        <f t="shared" ref="J195:K195" si="199">D195*1</f>
        <v>172</v>
      </c>
      <c r="K195" s="6">
        <f t="shared" si="199"/>
        <v>20284.66</v>
      </c>
      <c r="L195" s="6">
        <f t="shared" si="5"/>
        <v>12170.796</v>
      </c>
      <c r="M195" s="6">
        <f t="shared" si="6"/>
        <v>3488961.52</v>
      </c>
      <c r="N195" s="6">
        <f t="shared" si="7"/>
        <v>1395584.608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70">
        <v>3415240.0</v>
      </c>
      <c r="G196" s="2">
        <v>502.0</v>
      </c>
      <c r="H196" s="6">
        <f t="shared" si="2"/>
        <v>3104.766</v>
      </c>
      <c r="I196" s="6">
        <f t="shared" si="3"/>
        <v>1366097.04</v>
      </c>
      <c r="J196" s="68">
        <f t="shared" ref="J196:K196" si="200">D196*1</f>
        <v>660</v>
      </c>
      <c r="K196" s="6">
        <f t="shared" si="200"/>
        <v>5174.61</v>
      </c>
      <c r="L196" s="6">
        <f t="shared" si="5"/>
        <v>3104.766</v>
      </c>
      <c r="M196" s="6">
        <f t="shared" si="6"/>
        <v>3415242.6</v>
      </c>
      <c r="N196" s="6">
        <f t="shared" si="7"/>
        <v>1366097.04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70">
        <v>4003380.0</v>
      </c>
      <c r="G197" s="2">
        <v>617.0</v>
      </c>
      <c r="H197" s="6">
        <f t="shared" si="2"/>
        <v>3397.494</v>
      </c>
      <c r="I197" s="6">
        <f t="shared" si="3"/>
        <v>1601352.172</v>
      </c>
      <c r="J197" s="68">
        <f t="shared" ref="J197:K197" si="201">D197*1</f>
        <v>707</v>
      </c>
      <c r="K197" s="6">
        <f t="shared" si="201"/>
        <v>5662.49</v>
      </c>
      <c r="L197" s="6">
        <f t="shared" si="5"/>
        <v>3397.494</v>
      </c>
      <c r="M197" s="6">
        <f t="shared" si="6"/>
        <v>4003380.43</v>
      </c>
      <c r="N197" s="6">
        <f t="shared" si="7"/>
        <v>1601352.172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70">
        <v>875238.0</v>
      </c>
      <c r="G198" s="2">
        <v>633.0</v>
      </c>
      <c r="H198" s="6">
        <f t="shared" si="2"/>
        <v>779.142</v>
      </c>
      <c r="I198" s="6">
        <f t="shared" si="3"/>
        <v>350094.472</v>
      </c>
      <c r="J198" s="68">
        <f t="shared" ref="J198:K198" si="202">D198*1</f>
        <v>674</v>
      </c>
      <c r="K198" s="6">
        <f t="shared" si="202"/>
        <v>1298.57</v>
      </c>
      <c r="L198" s="6">
        <f t="shared" si="5"/>
        <v>779.142</v>
      </c>
      <c r="M198" s="6">
        <f t="shared" si="6"/>
        <v>875236.18</v>
      </c>
      <c r="N198" s="6">
        <f t="shared" si="7"/>
        <v>350094.472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70">
        <v>5678493.0</v>
      </c>
      <c r="G199" s="2">
        <v>817.0</v>
      </c>
      <c r="H199" s="6">
        <f t="shared" si="2"/>
        <v>3108.666</v>
      </c>
      <c r="I199" s="6">
        <f t="shared" si="3"/>
        <v>2271398.624</v>
      </c>
      <c r="J199" s="68">
        <f t="shared" ref="J199:K199" si="203">D199*1</f>
        <v>1096</v>
      </c>
      <c r="K199" s="6">
        <f t="shared" si="203"/>
        <v>5181.11</v>
      </c>
      <c r="L199" s="6">
        <f t="shared" si="5"/>
        <v>3108.666</v>
      </c>
      <c r="M199" s="6">
        <f t="shared" si="6"/>
        <v>5678496.56</v>
      </c>
      <c r="N199" s="6">
        <f t="shared" si="7"/>
        <v>2271398.624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70">
        <v>1357309.0</v>
      </c>
      <c r="G200" s="2">
        <v>910.0</v>
      </c>
      <c r="H200" s="6">
        <f t="shared" si="2"/>
        <v>768.288</v>
      </c>
      <c r="I200" s="6">
        <f t="shared" si="3"/>
        <v>542923.52</v>
      </c>
      <c r="J200" s="68">
        <f t="shared" ref="J200:K200" si="204">D200*1</f>
        <v>1060</v>
      </c>
      <c r="K200" s="6">
        <f t="shared" si="204"/>
        <v>1280.48</v>
      </c>
      <c r="L200" s="6">
        <f t="shared" si="5"/>
        <v>768.288</v>
      </c>
      <c r="M200" s="6">
        <f t="shared" si="6"/>
        <v>1357308.8</v>
      </c>
      <c r="N200" s="6">
        <f t="shared" si="7"/>
        <v>542923.52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70">
        <v>4181910.0</v>
      </c>
      <c r="G201" s="2">
        <v>161.0</v>
      </c>
      <c r="H201" s="6">
        <f t="shared" si="2"/>
        <v>13346.52</v>
      </c>
      <c r="I201" s="6">
        <f t="shared" si="3"/>
        <v>1672763.84</v>
      </c>
      <c r="J201" s="68">
        <f t="shared" ref="J201:K201" si="205">D201*1</f>
        <v>188</v>
      </c>
      <c r="K201" s="6">
        <f t="shared" si="205"/>
        <v>22244.2</v>
      </c>
      <c r="L201" s="6">
        <f t="shared" si="5"/>
        <v>13346.52</v>
      </c>
      <c r="M201" s="6">
        <f t="shared" si="6"/>
        <v>4181909.6</v>
      </c>
      <c r="N201" s="6">
        <f t="shared" si="7"/>
        <v>1672763.84</v>
      </c>
    </row>
    <row r="202" ht="15.75" customHeight="1">
      <c r="B202" s="7"/>
      <c r="F202" s="68"/>
      <c r="J202" s="68"/>
    </row>
    <row r="203" ht="15.75" customHeight="1">
      <c r="B203" s="7"/>
      <c r="F203" s="68"/>
      <c r="J203" s="68"/>
    </row>
    <row r="204" ht="15.75" customHeight="1">
      <c r="B204" s="7"/>
      <c r="F204" s="68"/>
      <c r="J204" s="68"/>
    </row>
    <row r="205" ht="15.75" customHeight="1">
      <c r="B205" s="7"/>
      <c r="F205" s="68"/>
      <c r="J205" s="68"/>
    </row>
    <row r="206" ht="15.75" customHeight="1">
      <c r="B206" s="7"/>
      <c r="F206" s="68"/>
      <c r="J206" s="68"/>
    </row>
    <row r="207" ht="15.75" customHeight="1">
      <c r="B207" s="7"/>
      <c r="F207" s="68"/>
      <c r="J207" s="68"/>
    </row>
    <row r="208" ht="15.75" customHeight="1">
      <c r="B208" s="7"/>
      <c r="F208" s="68"/>
      <c r="J208" s="68"/>
    </row>
    <row r="209" ht="15.75" customHeight="1">
      <c r="B209" s="7"/>
      <c r="F209" s="68"/>
      <c r="J209" s="68"/>
    </row>
    <row r="210" ht="15.75" customHeight="1">
      <c r="B210" s="7"/>
      <c r="F210" s="68"/>
      <c r="J210" s="68"/>
    </row>
    <row r="211" ht="15.75" customHeight="1">
      <c r="B211" s="7"/>
      <c r="F211" s="68"/>
      <c r="J211" s="68"/>
    </row>
    <row r="212" ht="15.75" customHeight="1">
      <c r="B212" s="7"/>
      <c r="F212" s="68"/>
      <c r="J212" s="68"/>
    </row>
    <row r="213" ht="15.75" customHeight="1">
      <c r="B213" s="7"/>
      <c r="F213" s="68"/>
      <c r="J213" s="68"/>
    </row>
    <row r="214" ht="15.75" customHeight="1">
      <c r="B214" s="7"/>
      <c r="F214" s="68"/>
      <c r="J214" s="68"/>
    </row>
    <row r="215" ht="15.75" customHeight="1">
      <c r="B215" s="7"/>
      <c r="F215" s="68"/>
      <c r="J215" s="68"/>
    </row>
    <row r="216" ht="15.75" customHeight="1">
      <c r="B216" s="7"/>
      <c r="F216" s="68"/>
      <c r="J216" s="68"/>
    </row>
    <row r="217" ht="15.75" customHeight="1">
      <c r="B217" s="7"/>
      <c r="F217" s="68"/>
      <c r="J217" s="68"/>
    </row>
    <row r="218" ht="15.75" customHeight="1">
      <c r="B218" s="7"/>
      <c r="F218" s="68"/>
      <c r="J218" s="68"/>
    </row>
    <row r="219" ht="15.75" customHeight="1">
      <c r="B219" s="7"/>
      <c r="F219" s="68"/>
      <c r="J219" s="68"/>
    </row>
    <row r="220" ht="15.75" customHeight="1">
      <c r="B220" s="7"/>
      <c r="F220" s="68"/>
      <c r="J220" s="68"/>
    </row>
    <row r="221" ht="15.75" customHeight="1">
      <c r="B221" s="7"/>
      <c r="F221" s="68"/>
      <c r="J221" s="68"/>
    </row>
    <row r="222" ht="15.75" customHeight="1">
      <c r="B222" s="7"/>
      <c r="F222" s="68"/>
      <c r="J222" s="68"/>
    </row>
    <row r="223" ht="15.75" customHeight="1">
      <c r="B223" s="7"/>
      <c r="F223" s="68"/>
      <c r="J223" s="68"/>
    </row>
    <row r="224" ht="15.75" customHeight="1">
      <c r="B224" s="7"/>
      <c r="F224" s="68"/>
      <c r="J224" s="68"/>
    </row>
    <row r="225" ht="15.75" customHeight="1">
      <c r="B225" s="7"/>
      <c r="F225" s="68"/>
      <c r="J225" s="68"/>
    </row>
    <row r="226" ht="15.75" customHeight="1">
      <c r="B226" s="7"/>
      <c r="F226" s="68"/>
      <c r="J226" s="68"/>
    </row>
    <row r="227" ht="15.75" customHeight="1">
      <c r="B227" s="7"/>
      <c r="F227" s="68"/>
      <c r="J227" s="68"/>
    </row>
    <row r="228" ht="15.75" customHeight="1">
      <c r="B228" s="7"/>
      <c r="F228" s="68"/>
      <c r="J228" s="68"/>
    </row>
    <row r="229" ht="15.75" customHeight="1">
      <c r="B229" s="7"/>
      <c r="F229" s="68"/>
      <c r="J229" s="68"/>
    </row>
    <row r="230" ht="15.75" customHeight="1">
      <c r="B230" s="7"/>
      <c r="F230" s="68"/>
      <c r="J230" s="68"/>
    </row>
    <row r="231" ht="15.75" customHeight="1">
      <c r="B231" s="7"/>
      <c r="F231" s="68"/>
      <c r="J231" s="68"/>
    </row>
    <row r="232" ht="15.75" customHeight="1">
      <c r="B232" s="7"/>
      <c r="F232" s="68"/>
      <c r="J232" s="68"/>
    </row>
    <row r="233" ht="15.75" customHeight="1">
      <c r="B233" s="7"/>
      <c r="F233" s="68"/>
      <c r="J233" s="68"/>
    </row>
    <row r="234" ht="15.75" customHeight="1">
      <c r="B234" s="7"/>
      <c r="F234" s="68"/>
      <c r="J234" s="68"/>
    </row>
    <row r="235" ht="15.75" customHeight="1">
      <c r="B235" s="7"/>
      <c r="F235" s="68"/>
      <c r="J235" s="68"/>
    </row>
    <row r="236" ht="15.75" customHeight="1">
      <c r="B236" s="7"/>
      <c r="F236" s="68"/>
      <c r="J236" s="68"/>
    </row>
    <row r="237" ht="15.75" customHeight="1">
      <c r="B237" s="7"/>
      <c r="F237" s="68"/>
      <c r="J237" s="68"/>
    </row>
    <row r="238" ht="15.75" customHeight="1">
      <c r="B238" s="7"/>
      <c r="F238" s="68"/>
      <c r="J238" s="68"/>
    </row>
    <row r="239" ht="15.75" customHeight="1">
      <c r="B239" s="7"/>
      <c r="F239" s="68"/>
      <c r="J239" s="68"/>
    </row>
    <row r="240" ht="15.75" customHeight="1">
      <c r="B240" s="7"/>
      <c r="F240" s="68"/>
      <c r="J240" s="68"/>
    </row>
    <row r="241" ht="15.75" customHeight="1">
      <c r="B241" s="7"/>
      <c r="F241" s="68"/>
      <c r="J241" s="68"/>
    </row>
    <row r="242" ht="15.75" customHeight="1">
      <c r="B242" s="7"/>
      <c r="F242" s="68"/>
      <c r="J242" s="68"/>
    </row>
    <row r="243" ht="15.75" customHeight="1">
      <c r="B243" s="7"/>
      <c r="F243" s="68"/>
      <c r="J243" s="68"/>
    </row>
    <row r="244" ht="15.75" customHeight="1">
      <c r="B244" s="7"/>
      <c r="F244" s="68"/>
      <c r="J244" s="68"/>
    </row>
    <row r="245" ht="15.75" customHeight="1">
      <c r="B245" s="7"/>
      <c r="F245" s="68"/>
      <c r="J245" s="68"/>
    </row>
    <row r="246" ht="15.75" customHeight="1">
      <c r="B246" s="7"/>
      <c r="F246" s="68"/>
      <c r="J246" s="68"/>
    </row>
    <row r="247" ht="15.75" customHeight="1">
      <c r="B247" s="7"/>
      <c r="F247" s="68"/>
      <c r="J247" s="68"/>
    </row>
    <row r="248" ht="15.75" customHeight="1">
      <c r="B248" s="7"/>
      <c r="F248" s="68"/>
      <c r="J248" s="68"/>
    </row>
    <row r="249" ht="15.75" customHeight="1">
      <c r="B249" s="7"/>
      <c r="F249" s="68"/>
      <c r="J249" s="68"/>
    </row>
    <row r="250" ht="15.75" customHeight="1">
      <c r="B250" s="7"/>
      <c r="F250" s="68"/>
      <c r="J250" s="68"/>
    </row>
    <row r="251" ht="15.75" customHeight="1">
      <c r="B251" s="7"/>
      <c r="F251" s="68"/>
      <c r="J251" s="68"/>
    </row>
    <row r="252" ht="15.75" customHeight="1">
      <c r="B252" s="7"/>
      <c r="F252" s="68"/>
      <c r="J252" s="68"/>
    </row>
    <row r="253" ht="15.75" customHeight="1">
      <c r="B253" s="7"/>
      <c r="F253" s="68"/>
      <c r="J253" s="68"/>
    </row>
    <row r="254" ht="15.75" customHeight="1">
      <c r="B254" s="7"/>
      <c r="F254" s="68"/>
      <c r="J254" s="68"/>
    </row>
    <row r="255" ht="15.75" customHeight="1">
      <c r="B255" s="7"/>
      <c r="F255" s="68"/>
      <c r="J255" s="68"/>
    </row>
    <row r="256" ht="15.75" customHeight="1">
      <c r="B256" s="7"/>
      <c r="F256" s="68"/>
      <c r="J256" s="68"/>
    </row>
    <row r="257" ht="15.75" customHeight="1">
      <c r="B257" s="7"/>
      <c r="F257" s="68"/>
      <c r="J257" s="68"/>
    </row>
    <row r="258" ht="15.75" customHeight="1">
      <c r="B258" s="7"/>
      <c r="F258" s="68"/>
      <c r="J258" s="68"/>
    </row>
    <row r="259" ht="15.75" customHeight="1">
      <c r="B259" s="7"/>
      <c r="F259" s="68"/>
      <c r="J259" s="68"/>
    </row>
    <row r="260" ht="15.75" customHeight="1">
      <c r="B260" s="7"/>
      <c r="F260" s="68"/>
      <c r="J260" s="68"/>
    </row>
    <row r="261" ht="15.75" customHeight="1">
      <c r="B261" s="7"/>
      <c r="F261" s="68"/>
      <c r="J261" s="68"/>
    </row>
    <row r="262" ht="15.75" customHeight="1">
      <c r="B262" s="7"/>
      <c r="F262" s="68"/>
      <c r="J262" s="68"/>
    </row>
    <row r="263" ht="15.75" customHeight="1">
      <c r="B263" s="7"/>
      <c r="F263" s="68"/>
      <c r="J263" s="68"/>
    </row>
    <row r="264" ht="15.75" customHeight="1">
      <c r="B264" s="7"/>
      <c r="F264" s="68"/>
      <c r="J264" s="68"/>
    </row>
    <row r="265" ht="15.75" customHeight="1">
      <c r="B265" s="7"/>
      <c r="F265" s="68"/>
      <c r="J265" s="68"/>
    </row>
    <row r="266" ht="15.75" customHeight="1">
      <c r="B266" s="7"/>
      <c r="F266" s="68"/>
      <c r="J266" s="68"/>
    </row>
    <row r="267" ht="15.75" customHeight="1">
      <c r="B267" s="7"/>
      <c r="F267" s="68"/>
      <c r="J267" s="68"/>
    </row>
    <row r="268" ht="15.75" customHeight="1">
      <c r="B268" s="7"/>
      <c r="F268" s="68"/>
      <c r="J268" s="68"/>
    </row>
    <row r="269" ht="15.75" customHeight="1">
      <c r="B269" s="7"/>
      <c r="F269" s="68"/>
      <c r="J269" s="68"/>
    </row>
    <row r="270" ht="15.75" customHeight="1">
      <c r="B270" s="7"/>
      <c r="F270" s="68"/>
      <c r="J270" s="68"/>
    </row>
    <row r="271" ht="15.75" customHeight="1">
      <c r="B271" s="7"/>
      <c r="F271" s="68"/>
      <c r="J271" s="68"/>
    </row>
    <row r="272" ht="15.75" customHeight="1">
      <c r="B272" s="7"/>
      <c r="F272" s="68"/>
      <c r="J272" s="68"/>
    </row>
    <row r="273" ht="15.75" customHeight="1">
      <c r="B273" s="7"/>
      <c r="F273" s="68"/>
      <c r="J273" s="68"/>
    </row>
    <row r="274" ht="15.75" customHeight="1">
      <c r="B274" s="7"/>
      <c r="F274" s="68"/>
      <c r="J274" s="68"/>
    </row>
    <row r="275" ht="15.75" customHeight="1">
      <c r="B275" s="7"/>
      <c r="F275" s="68"/>
      <c r="J275" s="68"/>
    </row>
    <row r="276" ht="15.75" customHeight="1">
      <c r="B276" s="7"/>
      <c r="F276" s="68"/>
      <c r="J276" s="68"/>
    </row>
    <row r="277" ht="15.75" customHeight="1">
      <c r="B277" s="7"/>
      <c r="F277" s="68"/>
      <c r="J277" s="68"/>
    </row>
    <row r="278" ht="15.75" customHeight="1">
      <c r="B278" s="7"/>
      <c r="F278" s="68"/>
      <c r="J278" s="68"/>
    </row>
    <row r="279" ht="15.75" customHeight="1">
      <c r="B279" s="7"/>
      <c r="F279" s="68"/>
      <c r="J279" s="68"/>
    </row>
    <row r="280" ht="15.75" customHeight="1">
      <c r="B280" s="7"/>
      <c r="F280" s="68"/>
      <c r="J280" s="68"/>
    </row>
    <row r="281" ht="15.75" customHeight="1">
      <c r="B281" s="7"/>
      <c r="F281" s="68"/>
      <c r="J281" s="68"/>
    </row>
    <row r="282" ht="15.75" customHeight="1">
      <c r="B282" s="7"/>
      <c r="F282" s="68"/>
      <c r="J282" s="68"/>
    </row>
    <row r="283" ht="15.75" customHeight="1">
      <c r="B283" s="7"/>
      <c r="F283" s="68"/>
      <c r="J283" s="68"/>
    </row>
    <row r="284" ht="15.75" customHeight="1">
      <c r="B284" s="7"/>
      <c r="F284" s="68"/>
      <c r="J284" s="68"/>
    </row>
    <row r="285" ht="15.75" customHeight="1">
      <c r="B285" s="7"/>
      <c r="F285" s="68"/>
      <c r="J285" s="68"/>
    </row>
    <row r="286" ht="15.75" customHeight="1">
      <c r="B286" s="7"/>
      <c r="F286" s="68"/>
      <c r="J286" s="68"/>
    </row>
    <row r="287" ht="15.75" customHeight="1">
      <c r="B287" s="7"/>
      <c r="F287" s="68"/>
      <c r="J287" s="68"/>
    </row>
    <row r="288" ht="15.75" customHeight="1">
      <c r="B288" s="7"/>
      <c r="F288" s="68"/>
      <c r="J288" s="68"/>
    </row>
    <row r="289" ht="15.75" customHeight="1">
      <c r="B289" s="7"/>
      <c r="F289" s="68"/>
      <c r="J289" s="68"/>
    </row>
    <row r="290" ht="15.75" customHeight="1">
      <c r="B290" s="7"/>
      <c r="F290" s="68"/>
      <c r="J290" s="68"/>
    </row>
    <row r="291" ht="15.75" customHeight="1">
      <c r="B291" s="7"/>
      <c r="F291" s="68"/>
      <c r="J291" s="68"/>
    </row>
    <row r="292" ht="15.75" customHeight="1">
      <c r="B292" s="7"/>
      <c r="F292" s="68"/>
      <c r="J292" s="68"/>
    </row>
    <row r="293" ht="15.75" customHeight="1">
      <c r="B293" s="7"/>
      <c r="F293" s="68"/>
      <c r="J293" s="68"/>
    </row>
    <row r="294" ht="15.75" customHeight="1">
      <c r="B294" s="7"/>
      <c r="F294" s="68"/>
      <c r="J294" s="68"/>
    </row>
    <row r="295" ht="15.75" customHeight="1">
      <c r="B295" s="7"/>
      <c r="F295" s="68"/>
      <c r="J295" s="68"/>
    </row>
    <row r="296" ht="15.75" customHeight="1">
      <c r="B296" s="7"/>
      <c r="F296" s="68"/>
      <c r="J296" s="68"/>
    </row>
    <row r="297" ht="15.75" customHeight="1">
      <c r="B297" s="7"/>
      <c r="F297" s="68"/>
      <c r="J297" s="68"/>
    </row>
    <row r="298" ht="15.75" customHeight="1">
      <c r="B298" s="7"/>
      <c r="F298" s="68"/>
      <c r="J298" s="68"/>
    </row>
    <row r="299" ht="15.75" customHeight="1">
      <c r="B299" s="7"/>
      <c r="F299" s="68"/>
      <c r="J299" s="68"/>
    </row>
    <row r="300" ht="15.75" customHeight="1">
      <c r="B300" s="7"/>
      <c r="F300" s="68"/>
      <c r="J300" s="68"/>
    </row>
    <row r="301" ht="15.75" customHeight="1">
      <c r="B301" s="7"/>
      <c r="F301" s="68"/>
      <c r="J301" s="68"/>
    </row>
    <row r="302" ht="15.75" customHeight="1">
      <c r="B302" s="7"/>
      <c r="F302" s="68"/>
      <c r="J302" s="68"/>
    </row>
    <row r="303" ht="15.75" customHeight="1">
      <c r="B303" s="7"/>
      <c r="F303" s="68"/>
      <c r="J303" s="68"/>
    </row>
    <row r="304" ht="15.75" customHeight="1">
      <c r="B304" s="7"/>
      <c r="F304" s="68"/>
      <c r="J304" s="68"/>
    </row>
    <row r="305" ht="15.75" customHeight="1">
      <c r="B305" s="7"/>
      <c r="F305" s="68"/>
      <c r="J305" s="68"/>
    </row>
    <row r="306" ht="15.75" customHeight="1">
      <c r="B306" s="7"/>
      <c r="F306" s="68"/>
      <c r="J306" s="68"/>
    </row>
    <row r="307" ht="15.75" customHeight="1">
      <c r="B307" s="7"/>
      <c r="F307" s="68"/>
      <c r="J307" s="68"/>
    </row>
    <row r="308" ht="15.75" customHeight="1">
      <c r="B308" s="7"/>
      <c r="F308" s="68"/>
      <c r="J308" s="68"/>
    </row>
    <row r="309" ht="15.75" customHeight="1">
      <c r="B309" s="7"/>
      <c r="F309" s="68"/>
      <c r="J309" s="68"/>
    </row>
    <row r="310" ht="15.75" customHeight="1">
      <c r="B310" s="7"/>
      <c r="F310" s="68"/>
      <c r="J310" s="68"/>
    </row>
    <row r="311" ht="15.75" customHeight="1">
      <c r="B311" s="7"/>
      <c r="F311" s="68"/>
      <c r="J311" s="68"/>
    </row>
    <row r="312" ht="15.75" customHeight="1">
      <c r="B312" s="7"/>
      <c r="F312" s="68"/>
      <c r="J312" s="68"/>
    </row>
    <row r="313" ht="15.75" customHeight="1">
      <c r="B313" s="7"/>
      <c r="F313" s="68"/>
      <c r="J313" s="68"/>
    </row>
    <row r="314" ht="15.75" customHeight="1">
      <c r="B314" s="7"/>
      <c r="F314" s="68"/>
      <c r="J314" s="68"/>
    </row>
    <row r="315" ht="15.75" customHeight="1">
      <c r="B315" s="7"/>
      <c r="F315" s="68"/>
      <c r="J315" s="68"/>
    </row>
    <row r="316" ht="15.75" customHeight="1">
      <c r="B316" s="7"/>
      <c r="F316" s="68"/>
      <c r="J316" s="68"/>
    </row>
    <row r="317" ht="15.75" customHeight="1">
      <c r="B317" s="7"/>
      <c r="F317" s="68"/>
      <c r="J317" s="68"/>
    </row>
    <row r="318" ht="15.75" customHeight="1">
      <c r="B318" s="7"/>
      <c r="F318" s="68"/>
      <c r="J318" s="68"/>
    </row>
    <row r="319" ht="15.75" customHeight="1">
      <c r="B319" s="7"/>
      <c r="F319" s="68"/>
      <c r="J319" s="68"/>
    </row>
    <row r="320" ht="15.75" customHeight="1">
      <c r="B320" s="7"/>
      <c r="F320" s="68"/>
      <c r="J320" s="68"/>
    </row>
    <row r="321" ht="15.75" customHeight="1">
      <c r="B321" s="7"/>
      <c r="F321" s="68"/>
      <c r="J321" s="68"/>
    </row>
    <row r="322" ht="15.75" customHeight="1">
      <c r="B322" s="7"/>
      <c r="F322" s="68"/>
      <c r="J322" s="68"/>
    </row>
    <row r="323" ht="15.75" customHeight="1">
      <c r="B323" s="7"/>
      <c r="F323" s="68"/>
      <c r="J323" s="68"/>
    </row>
    <row r="324" ht="15.75" customHeight="1">
      <c r="B324" s="7"/>
      <c r="F324" s="68"/>
      <c r="J324" s="68"/>
    </row>
    <row r="325" ht="15.75" customHeight="1">
      <c r="B325" s="7"/>
      <c r="F325" s="68"/>
      <c r="J325" s="68"/>
    </row>
    <row r="326" ht="15.75" customHeight="1">
      <c r="B326" s="7"/>
      <c r="F326" s="68"/>
      <c r="J326" s="68"/>
    </row>
    <row r="327" ht="15.75" customHeight="1">
      <c r="B327" s="7"/>
      <c r="F327" s="68"/>
      <c r="J327" s="68"/>
    </row>
    <row r="328" ht="15.75" customHeight="1">
      <c r="B328" s="7"/>
      <c r="F328" s="68"/>
      <c r="J328" s="68"/>
    </row>
    <row r="329" ht="15.75" customHeight="1">
      <c r="B329" s="7"/>
      <c r="F329" s="68"/>
      <c r="J329" s="68"/>
    </row>
    <row r="330" ht="15.75" customHeight="1">
      <c r="B330" s="7"/>
      <c r="F330" s="68"/>
      <c r="J330" s="68"/>
    </row>
    <row r="331" ht="15.75" customHeight="1">
      <c r="B331" s="7"/>
      <c r="F331" s="68"/>
      <c r="J331" s="68"/>
    </row>
    <row r="332" ht="15.75" customHeight="1">
      <c r="B332" s="7"/>
      <c r="F332" s="68"/>
      <c r="J332" s="68"/>
    </row>
    <row r="333" ht="15.75" customHeight="1">
      <c r="B333" s="7"/>
      <c r="F333" s="68"/>
      <c r="J333" s="68"/>
    </row>
    <row r="334" ht="15.75" customHeight="1">
      <c r="B334" s="7"/>
      <c r="F334" s="68"/>
      <c r="J334" s="68"/>
    </row>
    <row r="335" ht="15.75" customHeight="1">
      <c r="B335" s="7"/>
      <c r="F335" s="68"/>
      <c r="J335" s="68"/>
    </row>
    <row r="336" ht="15.75" customHeight="1">
      <c r="B336" s="7"/>
      <c r="F336" s="68"/>
      <c r="J336" s="68"/>
    </row>
    <row r="337" ht="15.75" customHeight="1">
      <c r="B337" s="7"/>
      <c r="F337" s="68"/>
      <c r="J337" s="68"/>
    </row>
    <row r="338" ht="15.75" customHeight="1">
      <c r="B338" s="7"/>
      <c r="F338" s="68"/>
      <c r="J338" s="68"/>
    </row>
    <row r="339" ht="15.75" customHeight="1">
      <c r="B339" s="7"/>
      <c r="F339" s="68"/>
      <c r="J339" s="68"/>
    </row>
    <row r="340" ht="15.75" customHeight="1">
      <c r="B340" s="7"/>
      <c r="F340" s="68"/>
      <c r="J340" s="68"/>
    </row>
    <row r="341" ht="15.75" customHeight="1">
      <c r="B341" s="7"/>
      <c r="F341" s="68"/>
      <c r="J341" s="68"/>
    </row>
    <row r="342" ht="15.75" customHeight="1">
      <c r="B342" s="7"/>
      <c r="F342" s="68"/>
      <c r="J342" s="68"/>
    </row>
    <row r="343" ht="15.75" customHeight="1">
      <c r="B343" s="7"/>
      <c r="F343" s="68"/>
      <c r="J343" s="68"/>
    </row>
    <row r="344" ht="15.75" customHeight="1">
      <c r="B344" s="7"/>
      <c r="F344" s="68"/>
      <c r="J344" s="68"/>
    </row>
    <row r="345" ht="15.75" customHeight="1">
      <c r="B345" s="7"/>
      <c r="F345" s="68"/>
      <c r="J345" s="68"/>
    </row>
    <row r="346" ht="15.75" customHeight="1">
      <c r="B346" s="7"/>
      <c r="F346" s="68"/>
      <c r="J346" s="68"/>
    </row>
    <row r="347" ht="15.75" customHeight="1">
      <c r="B347" s="7"/>
      <c r="F347" s="68"/>
      <c r="J347" s="68"/>
    </row>
    <row r="348" ht="15.75" customHeight="1">
      <c r="B348" s="7"/>
      <c r="F348" s="68"/>
      <c r="J348" s="68"/>
    </row>
    <row r="349" ht="15.75" customHeight="1">
      <c r="B349" s="7"/>
      <c r="F349" s="68"/>
      <c r="J349" s="68"/>
    </row>
    <row r="350" ht="15.75" customHeight="1">
      <c r="B350" s="7"/>
      <c r="F350" s="68"/>
      <c r="J350" s="68"/>
    </row>
    <row r="351" ht="15.75" customHeight="1">
      <c r="B351" s="7"/>
      <c r="F351" s="68"/>
      <c r="J351" s="68"/>
    </row>
    <row r="352" ht="15.75" customHeight="1">
      <c r="B352" s="7"/>
      <c r="F352" s="68"/>
      <c r="J352" s="68"/>
    </row>
    <row r="353" ht="15.75" customHeight="1">
      <c r="B353" s="7"/>
      <c r="F353" s="68"/>
      <c r="J353" s="68"/>
    </row>
    <row r="354" ht="15.75" customHeight="1">
      <c r="B354" s="7"/>
      <c r="F354" s="68"/>
      <c r="J354" s="68"/>
    </row>
    <row r="355" ht="15.75" customHeight="1">
      <c r="B355" s="7"/>
      <c r="F355" s="68"/>
      <c r="J355" s="68"/>
    </row>
    <row r="356" ht="15.75" customHeight="1">
      <c r="B356" s="7"/>
      <c r="F356" s="68"/>
      <c r="J356" s="68"/>
    </row>
    <row r="357" ht="15.75" customHeight="1">
      <c r="B357" s="7"/>
      <c r="F357" s="68"/>
      <c r="J357" s="68"/>
    </row>
    <row r="358" ht="15.75" customHeight="1">
      <c r="B358" s="7"/>
      <c r="F358" s="68"/>
      <c r="J358" s="68"/>
    </row>
    <row r="359" ht="15.75" customHeight="1">
      <c r="B359" s="7"/>
      <c r="F359" s="68"/>
      <c r="J359" s="68"/>
    </row>
    <row r="360" ht="15.75" customHeight="1">
      <c r="B360" s="7"/>
      <c r="F360" s="68"/>
      <c r="J360" s="68"/>
    </row>
    <row r="361" ht="15.75" customHeight="1">
      <c r="B361" s="7"/>
      <c r="F361" s="68"/>
      <c r="J361" s="68"/>
    </row>
    <row r="362" ht="15.75" customHeight="1">
      <c r="B362" s="7"/>
      <c r="F362" s="68"/>
      <c r="J362" s="68"/>
    </row>
    <row r="363" ht="15.75" customHeight="1">
      <c r="B363" s="7"/>
      <c r="F363" s="68"/>
      <c r="J363" s="68"/>
    </row>
    <row r="364" ht="15.75" customHeight="1">
      <c r="B364" s="7"/>
      <c r="F364" s="68"/>
      <c r="J364" s="68"/>
    </row>
    <row r="365" ht="15.75" customHeight="1">
      <c r="B365" s="7"/>
      <c r="F365" s="68"/>
      <c r="J365" s="68"/>
    </row>
    <row r="366" ht="15.75" customHeight="1">
      <c r="B366" s="7"/>
      <c r="F366" s="68"/>
      <c r="J366" s="68"/>
    </row>
    <row r="367" ht="15.75" customHeight="1">
      <c r="B367" s="7"/>
      <c r="F367" s="68"/>
      <c r="J367" s="68"/>
    </row>
    <row r="368" ht="15.75" customHeight="1">
      <c r="B368" s="7"/>
      <c r="F368" s="68"/>
      <c r="J368" s="68"/>
    </row>
    <row r="369" ht="15.75" customHeight="1">
      <c r="B369" s="7"/>
      <c r="F369" s="68"/>
      <c r="J369" s="68"/>
    </row>
    <row r="370" ht="15.75" customHeight="1">
      <c r="B370" s="7"/>
      <c r="F370" s="68"/>
      <c r="J370" s="68"/>
    </row>
    <row r="371" ht="15.75" customHeight="1">
      <c r="B371" s="7"/>
      <c r="F371" s="68"/>
      <c r="J371" s="68"/>
    </row>
    <row r="372" ht="15.75" customHeight="1">
      <c r="B372" s="7"/>
      <c r="F372" s="68"/>
      <c r="J372" s="68"/>
    </row>
    <row r="373" ht="15.75" customHeight="1">
      <c r="B373" s="7"/>
      <c r="F373" s="68"/>
      <c r="J373" s="68"/>
    </row>
    <row r="374" ht="15.75" customHeight="1">
      <c r="B374" s="7"/>
      <c r="F374" s="68"/>
      <c r="J374" s="68"/>
    </row>
    <row r="375" ht="15.75" customHeight="1">
      <c r="B375" s="7"/>
      <c r="F375" s="68"/>
      <c r="J375" s="68"/>
    </row>
    <row r="376" ht="15.75" customHeight="1">
      <c r="B376" s="7"/>
      <c r="F376" s="68"/>
      <c r="J376" s="68"/>
    </row>
    <row r="377" ht="15.75" customHeight="1">
      <c r="B377" s="7"/>
      <c r="F377" s="68"/>
      <c r="J377" s="68"/>
    </row>
    <row r="378" ht="15.75" customHeight="1">
      <c r="B378" s="7"/>
      <c r="F378" s="68"/>
      <c r="J378" s="68"/>
    </row>
    <row r="379" ht="15.75" customHeight="1">
      <c r="B379" s="7"/>
      <c r="F379" s="68"/>
      <c r="J379" s="68"/>
    </row>
    <row r="380" ht="15.75" customHeight="1">
      <c r="B380" s="7"/>
      <c r="F380" s="68"/>
      <c r="J380" s="68"/>
    </row>
    <row r="381" ht="15.75" customHeight="1">
      <c r="B381" s="7"/>
      <c r="F381" s="68"/>
      <c r="J381" s="68"/>
    </row>
    <row r="382" ht="15.75" customHeight="1">
      <c r="B382" s="7"/>
      <c r="F382" s="68"/>
      <c r="J382" s="68"/>
    </row>
    <row r="383" ht="15.75" customHeight="1">
      <c r="B383" s="7"/>
      <c r="F383" s="68"/>
      <c r="J383" s="68"/>
    </row>
    <row r="384" ht="15.75" customHeight="1">
      <c r="B384" s="7"/>
      <c r="F384" s="68"/>
      <c r="J384" s="68"/>
    </row>
    <row r="385" ht="15.75" customHeight="1">
      <c r="B385" s="7"/>
      <c r="F385" s="68"/>
      <c r="J385" s="68"/>
    </row>
    <row r="386" ht="15.75" customHeight="1">
      <c r="B386" s="7"/>
      <c r="F386" s="68"/>
      <c r="J386" s="68"/>
    </row>
    <row r="387" ht="15.75" customHeight="1">
      <c r="B387" s="7"/>
      <c r="F387" s="68"/>
      <c r="J387" s="68"/>
    </row>
    <row r="388" ht="15.75" customHeight="1">
      <c r="B388" s="7"/>
      <c r="F388" s="68"/>
      <c r="J388" s="68"/>
    </row>
    <row r="389" ht="15.75" customHeight="1">
      <c r="B389" s="7"/>
      <c r="F389" s="68"/>
      <c r="J389" s="68"/>
    </row>
    <row r="390" ht="15.75" customHeight="1">
      <c r="B390" s="7"/>
      <c r="F390" s="68"/>
      <c r="J390" s="68"/>
    </row>
    <row r="391" ht="15.75" customHeight="1">
      <c r="B391" s="7"/>
      <c r="F391" s="68"/>
      <c r="J391" s="68"/>
    </row>
    <row r="392" ht="15.75" customHeight="1">
      <c r="B392" s="7"/>
      <c r="F392" s="68"/>
      <c r="J392" s="68"/>
    </row>
    <row r="393" ht="15.75" customHeight="1">
      <c r="B393" s="7"/>
      <c r="F393" s="68"/>
      <c r="J393" s="68"/>
    </row>
    <row r="394" ht="15.75" customHeight="1">
      <c r="B394" s="7"/>
      <c r="F394" s="68"/>
      <c r="J394" s="68"/>
    </row>
    <row r="395" ht="15.75" customHeight="1">
      <c r="B395" s="7"/>
      <c r="F395" s="68"/>
      <c r="J395" s="68"/>
    </row>
    <row r="396" ht="15.75" customHeight="1">
      <c r="B396" s="7"/>
      <c r="F396" s="68"/>
      <c r="J396" s="68"/>
    </row>
    <row r="397" ht="15.75" customHeight="1">
      <c r="B397" s="7"/>
      <c r="F397" s="68"/>
      <c r="J397" s="68"/>
    </row>
    <row r="398" ht="15.75" customHeight="1">
      <c r="B398" s="7"/>
      <c r="F398" s="68"/>
      <c r="J398" s="68"/>
    </row>
    <row r="399" ht="15.75" customHeight="1">
      <c r="B399" s="7"/>
      <c r="F399" s="68"/>
      <c r="J399" s="68"/>
    </row>
    <row r="400" ht="15.75" customHeight="1">
      <c r="B400" s="7"/>
      <c r="F400" s="68"/>
      <c r="J400" s="68"/>
    </row>
    <row r="401" ht="15.75" customHeight="1">
      <c r="B401" s="7"/>
      <c r="F401" s="68"/>
      <c r="J401" s="68"/>
    </row>
    <row r="402" ht="15.75" customHeight="1">
      <c r="B402" s="7"/>
      <c r="F402" s="68"/>
      <c r="J402" s="68"/>
    </row>
    <row r="403" ht="15.75" customHeight="1">
      <c r="B403" s="7"/>
      <c r="F403" s="68"/>
      <c r="J403" s="68"/>
    </row>
    <row r="404" ht="15.75" customHeight="1">
      <c r="B404" s="7"/>
      <c r="F404" s="68"/>
      <c r="J404" s="68"/>
    </row>
    <row r="405" ht="15.75" customHeight="1">
      <c r="B405" s="7"/>
      <c r="F405" s="68"/>
      <c r="J405" s="68"/>
    </row>
    <row r="406" ht="15.75" customHeight="1">
      <c r="B406" s="7"/>
      <c r="F406" s="68"/>
      <c r="J406" s="68"/>
    </row>
    <row r="407" ht="15.75" customHeight="1">
      <c r="B407" s="7"/>
      <c r="F407" s="68"/>
      <c r="J407" s="68"/>
    </row>
    <row r="408" ht="15.75" customHeight="1">
      <c r="B408" s="7"/>
      <c r="F408" s="68"/>
      <c r="J408" s="68"/>
    </row>
    <row r="409" ht="15.75" customHeight="1">
      <c r="B409" s="7"/>
      <c r="F409" s="68"/>
      <c r="J409" s="68"/>
    </row>
    <row r="410" ht="15.75" customHeight="1">
      <c r="B410" s="7"/>
      <c r="F410" s="68"/>
      <c r="J410" s="68"/>
    </row>
    <row r="411" ht="15.75" customHeight="1">
      <c r="B411" s="7"/>
      <c r="F411" s="68"/>
      <c r="J411" s="68"/>
    </row>
    <row r="412" ht="15.75" customHeight="1">
      <c r="B412" s="7"/>
      <c r="F412" s="68"/>
      <c r="J412" s="68"/>
    </row>
    <row r="413" ht="15.75" customHeight="1">
      <c r="B413" s="7"/>
      <c r="F413" s="68"/>
      <c r="J413" s="68"/>
    </row>
    <row r="414" ht="15.75" customHeight="1">
      <c r="B414" s="7"/>
      <c r="F414" s="68"/>
      <c r="J414" s="68"/>
    </row>
    <row r="415" ht="15.75" customHeight="1">
      <c r="B415" s="7"/>
      <c r="F415" s="68"/>
      <c r="J415" s="68"/>
    </row>
    <row r="416" ht="15.75" customHeight="1">
      <c r="B416" s="7"/>
      <c r="F416" s="68"/>
      <c r="J416" s="68"/>
    </row>
    <row r="417" ht="15.75" customHeight="1">
      <c r="B417" s="7"/>
      <c r="F417" s="68"/>
      <c r="J417" s="68"/>
    </row>
    <row r="418" ht="15.75" customHeight="1">
      <c r="B418" s="7"/>
      <c r="F418" s="68"/>
      <c r="J418" s="68"/>
    </row>
    <row r="419" ht="15.75" customHeight="1">
      <c r="B419" s="7"/>
      <c r="F419" s="68"/>
      <c r="J419" s="68"/>
    </row>
    <row r="420" ht="15.75" customHeight="1">
      <c r="B420" s="7"/>
      <c r="F420" s="68"/>
      <c r="J420" s="68"/>
    </row>
    <row r="421" ht="15.75" customHeight="1">
      <c r="B421" s="7"/>
      <c r="F421" s="68"/>
      <c r="J421" s="68"/>
    </row>
    <row r="422" ht="15.75" customHeight="1">
      <c r="B422" s="7"/>
      <c r="F422" s="68"/>
      <c r="J422" s="68"/>
    </row>
    <row r="423" ht="15.75" customHeight="1">
      <c r="B423" s="7"/>
      <c r="F423" s="68"/>
      <c r="J423" s="68"/>
    </row>
    <row r="424" ht="15.75" customHeight="1">
      <c r="B424" s="7"/>
      <c r="F424" s="68"/>
      <c r="J424" s="68"/>
    </row>
    <row r="425" ht="15.75" customHeight="1">
      <c r="B425" s="7"/>
      <c r="F425" s="68"/>
      <c r="J425" s="68"/>
    </row>
    <row r="426" ht="15.75" customHeight="1">
      <c r="B426" s="7"/>
      <c r="F426" s="68"/>
      <c r="J426" s="68"/>
    </row>
    <row r="427" ht="15.75" customHeight="1">
      <c r="B427" s="7"/>
      <c r="F427" s="68"/>
      <c r="J427" s="68"/>
    </row>
    <row r="428" ht="15.75" customHeight="1">
      <c r="B428" s="7"/>
      <c r="F428" s="68"/>
      <c r="J428" s="68"/>
    </row>
    <row r="429" ht="15.75" customHeight="1">
      <c r="B429" s="7"/>
      <c r="F429" s="68"/>
      <c r="J429" s="68"/>
    </row>
    <row r="430" ht="15.75" customHeight="1">
      <c r="B430" s="7"/>
      <c r="F430" s="68"/>
      <c r="J430" s="68"/>
    </row>
    <row r="431" ht="15.75" customHeight="1">
      <c r="B431" s="7"/>
      <c r="F431" s="68"/>
      <c r="J431" s="68"/>
    </row>
    <row r="432" ht="15.75" customHeight="1">
      <c r="B432" s="7"/>
      <c r="F432" s="68"/>
      <c r="J432" s="68"/>
    </row>
    <row r="433" ht="15.75" customHeight="1">
      <c r="B433" s="7"/>
      <c r="F433" s="68"/>
      <c r="J433" s="68"/>
    </row>
    <row r="434" ht="15.75" customHeight="1">
      <c r="B434" s="7"/>
      <c r="F434" s="68"/>
      <c r="J434" s="68"/>
    </row>
    <row r="435" ht="15.75" customHeight="1">
      <c r="B435" s="7"/>
      <c r="F435" s="68"/>
      <c r="J435" s="68"/>
    </row>
    <row r="436" ht="15.75" customHeight="1">
      <c r="B436" s="7"/>
      <c r="F436" s="68"/>
      <c r="J436" s="68"/>
    </row>
    <row r="437" ht="15.75" customHeight="1">
      <c r="B437" s="7"/>
      <c r="F437" s="68"/>
      <c r="J437" s="68"/>
    </row>
    <row r="438" ht="15.75" customHeight="1">
      <c r="B438" s="7"/>
      <c r="F438" s="68"/>
      <c r="J438" s="68"/>
    </row>
    <row r="439" ht="15.75" customHeight="1">
      <c r="B439" s="7"/>
      <c r="F439" s="68"/>
      <c r="J439" s="68"/>
    </row>
    <row r="440" ht="15.75" customHeight="1">
      <c r="B440" s="7"/>
      <c r="F440" s="68"/>
      <c r="J440" s="68"/>
    </row>
    <row r="441" ht="15.75" customHeight="1">
      <c r="B441" s="7"/>
      <c r="F441" s="68"/>
      <c r="J441" s="68"/>
    </row>
    <row r="442" ht="15.75" customHeight="1">
      <c r="B442" s="7"/>
      <c r="F442" s="68"/>
      <c r="J442" s="68"/>
    </row>
    <row r="443" ht="15.75" customHeight="1">
      <c r="B443" s="7"/>
      <c r="F443" s="68"/>
      <c r="J443" s="68"/>
    </row>
    <row r="444" ht="15.75" customHeight="1">
      <c r="B444" s="7"/>
      <c r="F444" s="68"/>
      <c r="J444" s="68"/>
    </row>
    <row r="445" ht="15.75" customHeight="1">
      <c r="B445" s="7"/>
      <c r="F445" s="68"/>
      <c r="J445" s="68"/>
    </row>
    <row r="446" ht="15.75" customHeight="1">
      <c r="B446" s="7"/>
      <c r="F446" s="68"/>
      <c r="J446" s="68"/>
    </row>
    <row r="447" ht="15.75" customHeight="1">
      <c r="B447" s="7"/>
      <c r="F447" s="68"/>
      <c r="J447" s="68"/>
    </row>
    <row r="448" ht="15.75" customHeight="1">
      <c r="B448" s="7"/>
      <c r="F448" s="68"/>
      <c r="J448" s="68"/>
    </row>
    <row r="449" ht="15.75" customHeight="1">
      <c r="B449" s="7"/>
      <c r="F449" s="68"/>
      <c r="J449" s="68"/>
    </row>
    <row r="450" ht="15.75" customHeight="1">
      <c r="B450" s="7"/>
      <c r="F450" s="68"/>
      <c r="J450" s="68"/>
    </row>
    <row r="451" ht="15.75" customHeight="1">
      <c r="B451" s="7"/>
      <c r="F451" s="68"/>
      <c r="J451" s="68"/>
    </row>
    <row r="452" ht="15.75" customHeight="1">
      <c r="B452" s="7"/>
      <c r="F452" s="68"/>
      <c r="J452" s="68"/>
    </row>
    <row r="453" ht="15.75" customHeight="1">
      <c r="B453" s="7"/>
      <c r="F453" s="68"/>
      <c r="J453" s="68"/>
    </row>
    <row r="454" ht="15.75" customHeight="1">
      <c r="B454" s="7"/>
      <c r="F454" s="68"/>
      <c r="J454" s="68"/>
    </row>
    <row r="455" ht="15.75" customHeight="1">
      <c r="B455" s="7"/>
      <c r="F455" s="68"/>
      <c r="J455" s="68"/>
    </row>
    <row r="456" ht="15.75" customHeight="1">
      <c r="B456" s="7"/>
      <c r="F456" s="68"/>
      <c r="J456" s="68"/>
    </row>
    <row r="457" ht="15.75" customHeight="1">
      <c r="B457" s="7"/>
      <c r="F457" s="68"/>
      <c r="J457" s="68"/>
    </row>
    <row r="458" ht="15.75" customHeight="1">
      <c r="B458" s="7"/>
      <c r="F458" s="68"/>
      <c r="J458" s="68"/>
    </row>
    <row r="459" ht="15.75" customHeight="1">
      <c r="B459" s="7"/>
      <c r="F459" s="68"/>
      <c r="J459" s="68"/>
    </row>
    <row r="460" ht="15.75" customHeight="1">
      <c r="B460" s="7"/>
      <c r="F460" s="68"/>
      <c r="J460" s="68"/>
    </row>
    <row r="461" ht="15.75" customHeight="1">
      <c r="B461" s="7"/>
      <c r="F461" s="68"/>
      <c r="J461" s="68"/>
    </row>
    <row r="462" ht="15.75" customHeight="1">
      <c r="B462" s="7"/>
      <c r="F462" s="68"/>
      <c r="J462" s="68"/>
    </row>
    <row r="463" ht="15.75" customHeight="1">
      <c r="B463" s="7"/>
      <c r="F463" s="68"/>
      <c r="J463" s="68"/>
    </row>
    <row r="464" ht="15.75" customHeight="1">
      <c r="B464" s="7"/>
      <c r="F464" s="68"/>
      <c r="J464" s="68"/>
    </row>
    <row r="465" ht="15.75" customHeight="1">
      <c r="B465" s="7"/>
      <c r="F465" s="68"/>
      <c r="J465" s="68"/>
    </row>
    <row r="466" ht="15.75" customHeight="1">
      <c r="B466" s="7"/>
      <c r="F466" s="68"/>
      <c r="J466" s="68"/>
    </row>
    <row r="467" ht="15.75" customHeight="1">
      <c r="B467" s="7"/>
      <c r="F467" s="68"/>
      <c r="J467" s="68"/>
    </row>
    <row r="468" ht="15.75" customHeight="1">
      <c r="B468" s="7"/>
      <c r="F468" s="68"/>
      <c r="J468" s="68"/>
    </row>
    <row r="469" ht="15.75" customHeight="1">
      <c r="B469" s="7"/>
      <c r="F469" s="68"/>
      <c r="J469" s="68"/>
    </row>
    <row r="470" ht="15.75" customHeight="1">
      <c r="B470" s="7"/>
      <c r="F470" s="68"/>
      <c r="J470" s="68"/>
    </row>
    <row r="471" ht="15.75" customHeight="1">
      <c r="B471" s="7"/>
      <c r="F471" s="68"/>
      <c r="J471" s="68"/>
    </row>
    <row r="472" ht="15.75" customHeight="1">
      <c r="B472" s="7"/>
      <c r="F472" s="68"/>
      <c r="J472" s="68"/>
    </row>
    <row r="473" ht="15.75" customHeight="1">
      <c r="B473" s="7"/>
      <c r="F473" s="68"/>
      <c r="J473" s="68"/>
    </row>
    <row r="474" ht="15.75" customHeight="1">
      <c r="B474" s="7"/>
      <c r="F474" s="68"/>
      <c r="J474" s="68"/>
    </row>
    <row r="475" ht="15.75" customHeight="1">
      <c r="B475" s="7"/>
      <c r="F475" s="68"/>
      <c r="J475" s="68"/>
    </row>
    <row r="476" ht="15.75" customHeight="1">
      <c r="B476" s="7"/>
      <c r="F476" s="68"/>
      <c r="J476" s="68"/>
    </row>
    <row r="477" ht="15.75" customHeight="1">
      <c r="B477" s="7"/>
      <c r="F477" s="68"/>
      <c r="J477" s="68"/>
    </row>
    <row r="478" ht="15.75" customHeight="1">
      <c r="B478" s="7"/>
      <c r="F478" s="68"/>
      <c r="J478" s="68"/>
    </row>
    <row r="479" ht="15.75" customHeight="1">
      <c r="B479" s="7"/>
      <c r="F479" s="68"/>
      <c r="J479" s="68"/>
    </row>
    <row r="480" ht="15.75" customHeight="1">
      <c r="B480" s="7"/>
      <c r="F480" s="68"/>
      <c r="J480" s="68"/>
    </row>
    <row r="481" ht="15.75" customHeight="1">
      <c r="B481" s="7"/>
      <c r="F481" s="68"/>
      <c r="J481" s="68"/>
    </row>
    <row r="482" ht="15.75" customHeight="1">
      <c r="B482" s="7"/>
      <c r="F482" s="68"/>
      <c r="J482" s="68"/>
    </row>
    <row r="483" ht="15.75" customHeight="1">
      <c r="B483" s="7"/>
      <c r="F483" s="68"/>
      <c r="J483" s="68"/>
    </row>
    <row r="484" ht="15.75" customHeight="1">
      <c r="B484" s="7"/>
      <c r="F484" s="68"/>
      <c r="J484" s="68"/>
    </row>
    <row r="485" ht="15.75" customHeight="1">
      <c r="B485" s="7"/>
      <c r="F485" s="68"/>
      <c r="J485" s="68"/>
    </row>
    <row r="486" ht="15.75" customHeight="1">
      <c r="B486" s="7"/>
      <c r="F486" s="68"/>
      <c r="J486" s="68"/>
    </row>
    <row r="487" ht="15.75" customHeight="1">
      <c r="B487" s="7"/>
      <c r="F487" s="68"/>
      <c r="J487" s="68"/>
    </row>
    <row r="488" ht="15.75" customHeight="1">
      <c r="B488" s="7"/>
      <c r="F488" s="68"/>
      <c r="J488" s="68"/>
    </row>
    <row r="489" ht="15.75" customHeight="1">
      <c r="B489" s="7"/>
      <c r="F489" s="68"/>
      <c r="J489" s="68"/>
    </row>
    <row r="490" ht="15.75" customHeight="1">
      <c r="B490" s="7"/>
      <c r="F490" s="68"/>
      <c r="J490" s="68"/>
    </row>
    <row r="491" ht="15.75" customHeight="1">
      <c r="B491" s="7"/>
      <c r="F491" s="68"/>
      <c r="J491" s="68"/>
    </row>
    <row r="492" ht="15.75" customHeight="1">
      <c r="B492" s="7"/>
      <c r="F492" s="68"/>
      <c r="J492" s="68"/>
    </row>
    <row r="493" ht="15.75" customHeight="1">
      <c r="B493" s="7"/>
      <c r="F493" s="68"/>
      <c r="J493" s="68"/>
    </row>
    <row r="494" ht="15.75" customHeight="1">
      <c r="B494" s="7"/>
      <c r="F494" s="68"/>
      <c r="J494" s="68"/>
    </row>
    <row r="495" ht="15.75" customHeight="1">
      <c r="B495" s="7"/>
      <c r="F495" s="68"/>
      <c r="J495" s="68"/>
    </row>
    <row r="496" ht="15.75" customHeight="1">
      <c r="B496" s="7"/>
      <c r="F496" s="68"/>
      <c r="J496" s="68"/>
    </row>
    <row r="497" ht="15.75" customHeight="1">
      <c r="B497" s="7"/>
      <c r="F497" s="68"/>
      <c r="J497" s="68"/>
    </row>
    <row r="498" ht="15.75" customHeight="1">
      <c r="B498" s="7"/>
      <c r="F498" s="68"/>
      <c r="J498" s="68"/>
    </row>
    <row r="499" ht="15.75" customHeight="1">
      <c r="B499" s="7"/>
      <c r="F499" s="68"/>
      <c r="J499" s="68"/>
    </row>
    <row r="500" ht="15.75" customHeight="1">
      <c r="B500" s="7"/>
      <c r="F500" s="68"/>
      <c r="J500" s="68"/>
    </row>
    <row r="501" ht="15.75" customHeight="1">
      <c r="B501" s="7"/>
      <c r="F501" s="68"/>
      <c r="J501" s="68"/>
    </row>
    <row r="502" ht="15.75" customHeight="1">
      <c r="B502" s="7"/>
      <c r="F502" s="68"/>
      <c r="J502" s="68"/>
    </row>
    <row r="503" ht="15.75" customHeight="1">
      <c r="B503" s="7"/>
      <c r="F503" s="68"/>
      <c r="J503" s="68"/>
    </row>
    <row r="504" ht="15.75" customHeight="1">
      <c r="B504" s="7"/>
      <c r="F504" s="68"/>
      <c r="J504" s="68"/>
    </row>
    <row r="505" ht="15.75" customHeight="1">
      <c r="B505" s="7"/>
      <c r="F505" s="68"/>
      <c r="J505" s="68"/>
    </row>
    <row r="506" ht="15.75" customHeight="1">
      <c r="B506" s="7"/>
      <c r="F506" s="68"/>
      <c r="J506" s="68"/>
    </row>
    <row r="507" ht="15.75" customHeight="1">
      <c r="B507" s="7"/>
      <c r="F507" s="68"/>
      <c r="J507" s="68"/>
    </row>
    <row r="508" ht="15.75" customHeight="1">
      <c r="B508" s="7"/>
      <c r="F508" s="68"/>
      <c r="J508" s="68"/>
    </row>
    <row r="509" ht="15.75" customHeight="1">
      <c r="B509" s="7"/>
      <c r="F509" s="68"/>
      <c r="J509" s="68"/>
    </row>
    <row r="510" ht="15.75" customHeight="1">
      <c r="B510" s="7"/>
      <c r="F510" s="68"/>
      <c r="J510" s="68"/>
    </row>
    <row r="511" ht="15.75" customHeight="1">
      <c r="B511" s="7"/>
      <c r="F511" s="68"/>
      <c r="J511" s="68"/>
    </row>
    <row r="512" ht="15.75" customHeight="1">
      <c r="B512" s="7"/>
      <c r="F512" s="68"/>
      <c r="J512" s="68"/>
    </row>
    <row r="513" ht="15.75" customHeight="1">
      <c r="B513" s="7"/>
      <c r="F513" s="68"/>
      <c r="J513" s="68"/>
    </row>
    <row r="514" ht="15.75" customHeight="1">
      <c r="B514" s="7"/>
      <c r="F514" s="68"/>
      <c r="J514" s="68"/>
    </row>
    <row r="515" ht="15.75" customHeight="1">
      <c r="B515" s="7"/>
      <c r="F515" s="68"/>
      <c r="J515" s="68"/>
    </row>
    <row r="516" ht="15.75" customHeight="1">
      <c r="B516" s="7"/>
      <c r="F516" s="68"/>
      <c r="J516" s="68"/>
    </row>
    <row r="517" ht="15.75" customHeight="1">
      <c r="B517" s="7"/>
      <c r="F517" s="68"/>
      <c r="J517" s="68"/>
    </row>
    <row r="518" ht="15.75" customHeight="1">
      <c r="B518" s="7"/>
      <c r="F518" s="68"/>
      <c r="J518" s="68"/>
    </row>
    <row r="519" ht="15.75" customHeight="1">
      <c r="B519" s="7"/>
      <c r="F519" s="68"/>
      <c r="J519" s="68"/>
    </row>
    <row r="520" ht="15.75" customHeight="1">
      <c r="B520" s="7"/>
      <c r="F520" s="68"/>
      <c r="J520" s="68"/>
    </row>
    <row r="521" ht="15.75" customHeight="1">
      <c r="B521" s="7"/>
      <c r="F521" s="68"/>
      <c r="J521" s="68"/>
    </row>
    <row r="522" ht="15.75" customHeight="1">
      <c r="B522" s="7"/>
      <c r="F522" s="68"/>
      <c r="J522" s="68"/>
    </row>
    <row r="523" ht="15.75" customHeight="1">
      <c r="B523" s="7"/>
      <c r="F523" s="68"/>
      <c r="J523" s="68"/>
    </row>
    <row r="524" ht="15.75" customHeight="1">
      <c r="B524" s="7"/>
      <c r="F524" s="68"/>
      <c r="J524" s="68"/>
    </row>
    <row r="525" ht="15.75" customHeight="1">
      <c r="B525" s="7"/>
      <c r="F525" s="68"/>
      <c r="J525" s="68"/>
    </row>
    <row r="526" ht="15.75" customHeight="1">
      <c r="B526" s="7"/>
      <c r="F526" s="68"/>
      <c r="J526" s="68"/>
    </row>
    <row r="527" ht="15.75" customHeight="1">
      <c r="B527" s="7"/>
      <c r="F527" s="68"/>
      <c r="J527" s="68"/>
    </row>
    <row r="528" ht="15.75" customHeight="1">
      <c r="B528" s="7"/>
      <c r="F528" s="68"/>
      <c r="J528" s="68"/>
    </row>
    <row r="529" ht="15.75" customHeight="1">
      <c r="B529" s="7"/>
      <c r="F529" s="68"/>
      <c r="J529" s="68"/>
    </row>
    <row r="530" ht="15.75" customHeight="1">
      <c r="B530" s="7"/>
      <c r="F530" s="68"/>
      <c r="J530" s="68"/>
    </row>
    <row r="531" ht="15.75" customHeight="1">
      <c r="B531" s="7"/>
      <c r="F531" s="68"/>
      <c r="J531" s="68"/>
    </row>
    <row r="532" ht="15.75" customHeight="1">
      <c r="B532" s="7"/>
      <c r="F532" s="68"/>
      <c r="J532" s="68"/>
    </row>
    <row r="533" ht="15.75" customHeight="1">
      <c r="B533" s="7"/>
      <c r="F533" s="68"/>
      <c r="J533" s="68"/>
    </row>
    <row r="534" ht="15.75" customHeight="1">
      <c r="B534" s="7"/>
      <c r="F534" s="68"/>
      <c r="J534" s="68"/>
    </row>
    <row r="535" ht="15.75" customHeight="1">
      <c r="B535" s="7"/>
      <c r="F535" s="68"/>
      <c r="J535" s="68"/>
    </row>
    <row r="536" ht="15.75" customHeight="1">
      <c r="B536" s="7"/>
      <c r="F536" s="68"/>
      <c r="J536" s="68"/>
    </row>
    <row r="537" ht="15.75" customHeight="1">
      <c r="B537" s="7"/>
      <c r="F537" s="68"/>
      <c r="J537" s="68"/>
    </row>
    <row r="538" ht="15.75" customHeight="1">
      <c r="B538" s="7"/>
      <c r="F538" s="68"/>
      <c r="J538" s="68"/>
    </row>
    <row r="539" ht="15.75" customHeight="1">
      <c r="B539" s="7"/>
      <c r="F539" s="68"/>
      <c r="J539" s="68"/>
    </row>
    <row r="540" ht="15.75" customHeight="1">
      <c r="B540" s="7"/>
      <c r="F540" s="68"/>
      <c r="J540" s="68"/>
    </row>
    <row r="541" ht="15.75" customHeight="1">
      <c r="B541" s="7"/>
      <c r="F541" s="68"/>
      <c r="J541" s="68"/>
    </row>
    <row r="542" ht="15.75" customHeight="1">
      <c r="B542" s="7"/>
      <c r="F542" s="68"/>
      <c r="J542" s="68"/>
    </row>
    <row r="543" ht="15.75" customHeight="1">
      <c r="B543" s="7"/>
      <c r="F543" s="68"/>
      <c r="J543" s="68"/>
    </row>
    <row r="544" ht="15.75" customHeight="1">
      <c r="B544" s="7"/>
      <c r="F544" s="68"/>
      <c r="J544" s="68"/>
    </row>
    <row r="545" ht="15.75" customHeight="1">
      <c r="B545" s="7"/>
      <c r="F545" s="68"/>
      <c r="J545" s="68"/>
    </row>
    <row r="546" ht="15.75" customHeight="1">
      <c r="B546" s="7"/>
      <c r="F546" s="68"/>
      <c r="J546" s="68"/>
    </row>
    <row r="547" ht="15.75" customHeight="1">
      <c r="B547" s="7"/>
      <c r="F547" s="68"/>
      <c r="J547" s="68"/>
    </row>
    <row r="548" ht="15.75" customHeight="1">
      <c r="B548" s="7"/>
      <c r="F548" s="68"/>
      <c r="J548" s="68"/>
    </row>
    <row r="549" ht="15.75" customHeight="1">
      <c r="B549" s="7"/>
      <c r="F549" s="68"/>
      <c r="J549" s="68"/>
    </row>
    <row r="550" ht="15.75" customHeight="1">
      <c r="B550" s="7"/>
      <c r="F550" s="68"/>
      <c r="J550" s="68"/>
    </row>
    <row r="551" ht="15.75" customHeight="1">
      <c r="B551" s="7"/>
      <c r="F551" s="68"/>
      <c r="J551" s="68"/>
    </row>
    <row r="552" ht="15.75" customHeight="1">
      <c r="B552" s="7"/>
      <c r="F552" s="68"/>
      <c r="J552" s="68"/>
    </row>
    <row r="553" ht="15.75" customHeight="1">
      <c r="B553" s="7"/>
      <c r="F553" s="68"/>
      <c r="J553" s="68"/>
    </row>
    <row r="554" ht="15.75" customHeight="1">
      <c r="B554" s="7"/>
      <c r="F554" s="68"/>
      <c r="J554" s="68"/>
    </row>
    <row r="555" ht="15.75" customHeight="1">
      <c r="B555" s="7"/>
      <c r="F555" s="68"/>
      <c r="J555" s="68"/>
    </row>
    <row r="556" ht="15.75" customHeight="1">
      <c r="B556" s="7"/>
      <c r="F556" s="68"/>
      <c r="J556" s="68"/>
    </row>
    <row r="557" ht="15.75" customHeight="1">
      <c r="B557" s="7"/>
      <c r="F557" s="68"/>
      <c r="J557" s="68"/>
    </row>
    <row r="558" ht="15.75" customHeight="1">
      <c r="B558" s="7"/>
      <c r="F558" s="68"/>
      <c r="J558" s="68"/>
    </row>
    <row r="559" ht="15.75" customHeight="1">
      <c r="B559" s="7"/>
      <c r="F559" s="68"/>
      <c r="J559" s="68"/>
    </row>
    <row r="560" ht="15.75" customHeight="1">
      <c r="B560" s="7"/>
      <c r="F560" s="68"/>
      <c r="J560" s="68"/>
    </row>
    <row r="561" ht="15.75" customHeight="1">
      <c r="B561" s="7"/>
      <c r="F561" s="68"/>
      <c r="J561" s="68"/>
    </row>
    <row r="562" ht="15.75" customHeight="1">
      <c r="B562" s="7"/>
      <c r="F562" s="68"/>
      <c r="J562" s="68"/>
    </row>
    <row r="563" ht="15.75" customHeight="1">
      <c r="B563" s="7"/>
      <c r="F563" s="68"/>
      <c r="J563" s="68"/>
    </row>
    <row r="564" ht="15.75" customHeight="1">
      <c r="B564" s="7"/>
      <c r="F564" s="68"/>
      <c r="J564" s="68"/>
    </row>
    <row r="565" ht="15.75" customHeight="1">
      <c r="B565" s="7"/>
      <c r="F565" s="68"/>
      <c r="J565" s="68"/>
    </row>
    <row r="566" ht="15.75" customHeight="1">
      <c r="B566" s="7"/>
      <c r="F566" s="68"/>
      <c r="J566" s="68"/>
    </row>
    <row r="567" ht="15.75" customHeight="1">
      <c r="B567" s="7"/>
      <c r="F567" s="68"/>
      <c r="J567" s="68"/>
    </row>
    <row r="568" ht="15.75" customHeight="1">
      <c r="B568" s="7"/>
      <c r="F568" s="68"/>
      <c r="J568" s="68"/>
    </row>
    <row r="569" ht="15.75" customHeight="1">
      <c r="B569" s="7"/>
      <c r="F569" s="68"/>
      <c r="J569" s="68"/>
    </row>
    <row r="570" ht="15.75" customHeight="1">
      <c r="B570" s="7"/>
      <c r="F570" s="68"/>
      <c r="J570" s="68"/>
    </row>
    <row r="571" ht="15.75" customHeight="1">
      <c r="B571" s="7"/>
      <c r="F571" s="68"/>
      <c r="J571" s="68"/>
    </row>
    <row r="572" ht="15.75" customHeight="1">
      <c r="B572" s="7"/>
      <c r="F572" s="68"/>
      <c r="J572" s="68"/>
    </row>
    <row r="573" ht="15.75" customHeight="1">
      <c r="B573" s="7"/>
      <c r="F573" s="68"/>
      <c r="J573" s="68"/>
    </row>
    <row r="574" ht="15.75" customHeight="1">
      <c r="B574" s="7"/>
      <c r="F574" s="68"/>
      <c r="J574" s="68"/>
    </row>
    <row r="575" ht="15.75" customHeight="1">
      <c r="B575" s="7"/>
      <c r="F575" s="68"/>
      <c r="J575" s="68"/>
    </row>
    <row r="576" ht="15.75" customHeight="1">
      <c r="B576" s="7"/>
      <c r="F576" s="68"/>
      <c r="J576" s="68"/>
    </row>
    <row r="577" ht="15.75" customHeight="1">
      <c r="B577" s="7"/>
      <c r="F577" s="68"/>
      <c r="J577" s="68"/>
    </row>
    <row r="578" ht="15.75" customHeight="1">
      <c r="B578" s="7"/>
      <c r="F578" s="68"/>
      <c r="J578" s="68"/>
    </row>
    <row r="579" ht="15.75" customHeight="1">
      <c r="B579" s="7"/>
      <c r="F579" s="68"/>
      <c r="J579" s="68"/>
    </row>
    <row r="580" ht="15.75" customHeight="1">
      <c r="B580" s="7"/>
      <c r="F580" s="68"/>
      <c r="J580" s="68"/>
    </row>
    <row r="581" ht="15.75" customHeight="1">
      <c r="B581" s="7"/>
      <c r="F581" s="68"/>
      <c r="J581" s="68"/>
    </row>
    <row r="582" ht="15.75" customHeight="1">
      <c r="B582" s="7"/>
      <c r="F582" s="68"/>
      <c r="J582" s="68"/>
    </row>
    <row r="583" ht="15.75" customHeight="1">
      <c r="B583" s="7"/>
      <c r="F583" s="68"/>
      <c r="J583" s="68"/>
    </row>
    <row r="584" ht="15.75" customHeight="1">
      <c r="B584" s="7"/>
      <c r="F584" s="68"/>
      <c r="J584" s="68"/>
    </row>
    <row r="585" ht="15.75" customHeight="1">
      <c r="B585" s="7"/>
      <c r="F585" s="68"/>
      <c r="J585" s="68"/>
    </row>
    <row r="586" ht="15.75" customHeight="1">
      <c r="B586" s="7"/>
      <c r="F586" s="68"/>
      <c r="J586" s="68"/>
    </row>
    <row r="587" ht="15.75" customHeight="1">
      <c r="B587" s="7"/>
      <c r="F587" s="68"/>
      <c r="J587" s="68"/>
    </row>
    <row r="588" ht="15.75" customHeight="1">
      <c r="B588" s="7"/>
      <c r="F588" s="68"/>
      <c r="J588" s="68"/>
    </row>
    <row r="589" ht="15.75" customHeight="1">
      <c r="B589" s="7"/>
      <c r="F589" s="68"/>
      <c r="J589" s="68"/>
    </row>
    <row r="590" ht="15.75" customHeight="1">
      <c r="B590" s="7"/>
      <c r="F590" s="68"/>
      <c r="J590" s="68"/>
    </row>
    <row r="591" ht="15.75" customHeight="1">
      <c r="B591" s="7"/>
      <c r="F591" s="68"/>
      <c r="J591" s="68"/>
    </row>
    <row r="592" ht="15.75" customHeight="1">
      <c r="B592" s="7"/>
      <c r="F592" s="68"/>
      <c r="J592" s="68"/>
    </row>
    <row r="593" ht="15.75" customHeight="1">
      <c r="B593" s="7"/>
      <c r="F593" s="68"/>
      <c r="J593" s="68"/>
    </row>
    <row r="594" ht="15.75" customHeight="1">
      <c r="B594" s="7"/>
      <c r="F594" s="68"/>
      <c r="J594" s="68"/>
    </row>
    <row r="595" ht="15.75" customHeight="1">
      <c r="B595" s="7"/>
      <c r="F595" s="68"/>
      <c r="J595" s="68"/>
    </row>
    <row r="596" ht="15.75" customHeight="1">
      <c r="B596" s="7"/>
      <c r="F596" s="68"/>
      <c r="J596" s="68"/>
    </row>
    <row r="597" ht="15.75" customHeight="1">
      <c r="B597" s="7"/>
      <c r="F597" s="68"/>
      <c r="J597" s="68"/>
    </row>
    <row r="598" ht="15.75" customHeight="1">
      <c r="B598" s="7"/>
      <c r="F598" s="68"/>
      <c r="J598" s="68"/>
    </row>
    <row r="599" ht="15.75" customHeight="1">
      <c r="B599" s="7"/>
      <c r="F599" s="68"/>
      <c r="J599" s="68"/>
    </row>
    <row r="600" ht="15.75" customHeight="1">
      <c r="B600" s="7"/>
      <c r="F600" s="68"/>
      <c r="J600" s="68"/>
    </row>
    <row r="601" ht="15.75" customHeight="1">
      <c r="B601" s="7"/>
      <c r="F601" s="68"/>
      <c r="J601" s="68"/>
    </row>
    <row r="602" ht="15.75" customHeight="1">
      <c r="B602" s="7"/>
      <c r="F602" s="68"/>
      <c r="J602" s="68"/>
    </row>
    <row r="603" ht="15.75" customHeight="1">
      <c r="B603" s="7"/>
      <c r="F603" s="68"/>
      <c r="J603" s="68"/>
    </row>
    <row r="604" ht="15.75" customHeight="1">
      <c r="B604" s="7"/>
      <c r="F604" s="68"/>
      <c r="J604" s="68"/>
    </row>
    <row r="605" ht="15.75" customHeight="1">
      <c r="B605" s="7"/>
      <c r="F605" s="68"/>
      <c r="J605" s="68"/>
    </row>
    <row r="606" ht="15.75" customHeight="1">
      <c r="B606" s="7"/>
      <c r="F606" s="68"/>
      <c r="J606" s="68"/>
    </row>
    <row r="607" ht="15.75" customHeight="1">
      <c r="B607" s="7"/>
      <c r="F607" s="68"/>
      <c r="J607" s="68"/>
    </row>
    <row r="608" ht="15.75" customHeight="1">
      <c r="B608" s="7"/>
      <c r="F608" s="68"/>
      <c r="J608" s="68"/>
    </row>
    <row r="609" ht="15.75" customHeight="1">
      <c r="B609" s="7"/>
      <c r="F609" s="68"/>
      <c r="J609" s="68"/>
    </row>
    <row r="610" ht="15.75" customHeight="1">
      <c r="B610" s="7"/>
      <c r="F610" s="68"/>
      <c r="J610" s="68"/>
    </row>
    <row r="611" ht="15.75" customHeight="1">
      <c r="B611" s="7"/>
      <c r="F611" s="68"/>
      <c r="J611" s="68"/>
    </row>
    <row r="612" ht="15.75" customHeight="1">
      <c r="B612" s="7"/>
      <c r="F612" s="68"/>
      <c r="J612" s="68"/>
    </row>
    <row r="613" ht="15.75" customHeight="1">
      <c r="B613" s="7"/>
      <c r="F613" s="68"/>
      <c r="J613" s="68"/>
    </row>
    <row r="614" ht="15.75" customHeight="1">
      <c r="B614" s="7"/>
      <c r="F614" s="68"/>
      <c r="J614" s="68"/>
    </row>
    <row r="615" ht="15.75" customHeight="1">
      <c r="B615" s="7"/>
      <c r="F615" s="68"/>
      <c r="J615" s="68"/>
    </row>
    <row r="616" ht="15.75" customHeight="1">
      <c r="B616" s="7"/>
      <c r="F616" s="68"/>
      <c r="J616" s="68"/>
    </row>
    <row r="617" ht="15.75" customHeight="1">
      <c r="B617" s="7"/>
      <c r="F617" s="68"/>
      <c r="J617" s="68"/>
    </row>
    <row r="618" ht="15.75" customHeight="1">
      <c r="B618" s="7"/>
      <c r="F618" s="68"/>
      <c r="J618" s="68"/>
    </row>
    <row r="619" ht="15.75" customHeight="1">
      <c r="B619" s="7"/>
      <c r="F619" s="68"/>
      <c r="J619" s="68"/>
    </row>
    <row r="620" ht="15.75" customHeight="1">
      <c r="B620" s="7"/>
      <c r="F620" s="68"/>
      <c r="J620" s="68"/>
    </row>
    <row r="621" ht="15.75" customHeight="1">
      <c r="B621" s="7"/>
      <c r="F621" s="68"/>
      <c r="J621" s="68"/>
    </row>
    <row r="622" ht="15.75" customHeight="1">
      <c r="B622" s="7"/>
      <c r="F622" s="68"/>
      <c r="J622" s="68"/>
    </row>
    <row r="623" ht="15.75" customHeight="1">
      <c r="B623" s="7"/>
      <c r="F623" s="68"/>
      <c r="J623" s="68"/>
    </row>
    <row r="624" ht="15.75" customHeight="1">
      <c r="B624" s="7"/>
      <c r="F624" s="68"/>
      <c r="J624" s="68"/>
    </row>
    <row r="625" ht="15.75" customHeight="1">
      <c r="B625" s="7"/>
      <c r="F625" s="68"/>
      <c r="J625" s="68"/>
    </row>
    <row r="626" ht="15.75" customHeight="1">
      <c r="B626" s="7"/>
      <c r="F626" s="68"/>
      <c r="J626" s="68"/>
    </row>
    <row r="627" ht="15.75" customHeight="1">
      <c r="B627" s="7"/>
      <c r="F627" s="68"/>
      <c r="J627" s="68"/>
    </row>
    <row r="628" ht="15.75" customHeight="1">
      <c r="B628" s="7"/>
      <c r="F628" s="68"/>
      <c r="J628" s="68"/>
    </row>
    <row r="629" ht="15.75" customHeight="1">
      <c r="B629" s="7"/>
      <c r="F629" s="68"/>
      <c r="J629" s="68"/>
    </row>
    <row r="630" ht="15.75" customHeight="1">
      <c r="B630" s="7"/>
      <c r="F630" s="68"/>
      <c r="J630" s="68"/>
    </row>
    <row r="631" ht="15.75" customHeight="1">
      <c r="B631" s="7"/>
      <c r="F631" s="68"/>
      <c r="J631" s="68"/>
    </row>
    <row r="632" ht="15.75" customHeight="1">
      <c r="B632" s="7"/>
      <c r="F632" s="68"/>
      <c r="J632" s="68"/>
    </row>
    <row r="633" ht="15.75" customHeight="1">
      <c r="B633" s="7"/>
      <c r="F633" s="68"/>
      <c r="J633" s="68"/>
    </row>
    <row r="634" ht="15.75" customHeight="1">
      <c r="B634" s="7"/>
      <c r="F634" s="68"/>
      <c r="J634" s="68"/>
    </row>
    <row r="635" ht="15.75" customHeight="1">
      <c r="B635" s="7"/>
      <c r="F635" s="68"/>
      <c r="J635" s="68"/>
    </row>
    <row r="636" ht="15.75" customHeight="1">
      <c r="B636" s="7"/>
      <c r="F636" s="68"/>
      <c r="J636" s="68"/>
    </row>
    <row r="637" ht="15.75" customHeight="1">
      <c r="B637" s="7"/>
      <c r="F637" s="68"/>
      <c r="J637" s="68"/>
    </row>
    <row r="638" ht="15.75" customHeight="1">
      <c r="B638" s="7"/>
      <c r="F638" s="68"/>
      <c r="J638" s="68"/>
    </row>
    <row r="639" ht="15.75" customHeight="1">
      <c r="B639" s="7"/>
      <c r="F639" s="68"/>
      <c r="J639" s="68"/>
    </row>
    <row r="640" ht="15.75" customHeight="1">
      <c r="B640" s="7"/>
      <c r="F640" s="68"/>
      <c r="J640" s="68"/>
    </row>
    <row r="641" ht="15.75" customHeight="1">
      <c r="B641" s="7"/>
      <c r="F641" s="68"/>
      <c r="J641" s="68"/>
    </row>
    <row r="642" ht="15.75" customHeight="1">
      <c r="B642" s="7"/>
      <c r="F642" s="68"/>
      <c r="J642" s="68"/>
    </row>
    <row r="643" ht="15.75" customHeight="1">
      <c r="B643" s="7"/>
      <c r="F643" s="68"/>
      <c r="J643" s="68"/>
    </row>
    <row r="644" ht="15.75" customHeight="1">
      <c r="B644" s="7"/>
      <c r="F644" s="68"/>
      <c r="J644" s="68"/>
    </row>
    <row r="645" ht="15.75" customHeight="1">
      <c r="B645" s="7"/>
      <c r="F645" s="68"/>
      <c r="J645" s="68"/>
    </row>
    <row r="646" ht="15.75" customHeight="1">
      <c r="B646" s="7"/>
      <c r="F646" s="68"/>
      <c r="J646" s="68"/>
    </row>
    <row r="647" ht="15.75" customHeight="1">
      <c r="B647" s="7"/>
      <c r="F647" s="68"/>
      <c r="J647" s="68"/>
    </row>
    <row r="648" ht="15.75" customHeight="1">
      <c r="B648" s="7"/>
      <c r="F648" s="68"/>
      <c r="J648" s="68"/>
    </row>
    <row r="649" ht="15.75" customHeight="1">
      <c r="B649" s="7"/>
      <c r="F649" s="68"/>
      <c r="J649" s="68"/>
    </row>
    <row r="650" ht="15.75" customHeight="1">
      <c r="B650" s="7"/>
      <c r="F650" s="68"/>
      <c r="J650" s="68"/>
    </row>
    <row r="651" ht="15.75" customHeight="1">
      <c r="B651" s="7"/>
      <c r="F651" s="68"/>
      <c r="J651" s="68"/>
    </row>
    <row r="652" ht="15.75" customHeight="1">
      <c r="B652" s="7"/>
      <c r="F652" s="68"/>
      <c r="J652" s="68"/>
    </row>
    <row r="653" ht="15.75" customHeight="1">
      <c r="B653" s="7"/>
      <c r="F653" s="68"/>
      <c r="J653" s="68"/>
    </row>
    <row r="654" ht="15.75" customHeight="1">
      <c r="B654" s="7"/>
      <c r="F654" s="68"/>
      <c r="J654" s="68"/>
    </row>
    <row r="655" ht="15.75" customHeight="1">
      <c r="B655" s="7"/>
      <c r="F655" s="68"/>
      <c r="J655" s="68"/>
    </row>
    <row r="656" ht="15.75" customHeight="1">
      <c r="B656" s="7"/>
      <c r="F656" s="68"/>
      <c r="J656" s="68"/>
    </row>
    <row r="657" ht="15.75" customHeight="1">
      <c r="B657" s="7"/>
      <c r="F657" s="68"/>
      <c r="J657" s="68"/>
    </row>
    <row r="658" ht="15.75" customHeight="1">
      <c r="B658" s="7"/>
      <c r="F658" s="68"/>
      <c r="J658" s="68"/>
    </row>
    <row r="659" ht="15.75" customHeight="1">
      <c r="B659" s="7"/>
      <c r="F659" s="68"/>
      <c r="J659" s="68"/>
    </row>
    <row r="660" ht="15.75" customHeight="1">
      <c r="B660" s="7"/>
      <c r="F660" s="68"/>
      <c r="J660" s="68"/>
    </row>
    <row r="661" ht="15.75" customHeight="1">
      <c r="B661" s="7"/>
      <c r="F661" s="68"/>
      <c r="J661" s="68"/>
    </row>
    <row r="662" ht="15.75" customHeight="1">
      <c r="B662" s="7"/>
      <c r="F662" s="68"/>
      <c r="J662" s="68"/>
    </row>
    <row r="663" ht="15.75" customHeight="1">
      <c r="B663" s="7"/>
      <c r="F663" s="68"/>
      <c r="J663" s="68"/>
    </row>
    <row r="664" ht="15.75" customHeight="1">
      <c r="B664" s="7"/>
      <c r="F664" s="68"/>
      <c r="J664" s="68"/>
    </row>
    <row r="665" ht="15.75" customHeight="1">
      <c r="B665" s="7"/>
      <c r="F665" s="68"/>
      <c r="J665" s="68"/>
    </row>
    <row r="666" ht="15.75" customHeight="1">
      <c r="B666" s="7"/>
      <c r="F666" s="68"/>
      <c r="J666" s="68"/>
    </row>
    <row r="667" ht="15.75" customHeight="1">
      <c r="B667" s="7"/>
      <c r="F667" s="68"/>
      <c r="J667" s="68"/>
    </row>
    <row r="668" ht="15.75" customHeight="1">
      <c r="B668" s="7"/>
      <c r="F668" s="68"/>
      <c r="J668" s="68"/>
    </row>
    <row r="669" ht="15.75" customHeight="1">
      <c r="B669" s="7"/>
      <c r="F669" s="68"/>
      <c r="J669" s="68"/>
    </row>
    <row r="670" ht="15.75" customHeight="1">
      <c r="B670" s="7"/>
      <c r="F670" s="68"/>
      <c r="J670" s="68"/>
    </row>
    <row r="671" ht="15.75" customHeight="1">
      <c r="B671" s="7"/>
      <c r="F671" s="68"/>
      <c r="J671" s="68"/>
    </row>
    <row r="672" ht="15.75" customHeight="1">
      <c r="B672" s="7"/>
      <c r="F672" s="68"/>
      <c r="J672" s="68"/>
    </row>
    <row r="673" ht="15.75" customHeight="1">
      <c r="B673" s="7"/>
      <c r="F673" s="68"/>
      <c r="J673" s="68"/>
    </row>
    <row r="674" ht="15.75" customHeight="1">
      <c r="B674" s="7"/>
      <c r="F674" s="68"/>
      <c r="J674" s="68"/>
    </row>
    <row r="675" ht="15.75" customHeight="1">
      <c r="B675" s="7"/>
      <c r="F675" s="68"/>
      <c r="J675" s="68"/>
    </row>
    <row r="676" ht="15.75" customHeight="1">
      <c r="B676" s="7"/>
      <c r="F676" s="68"/>
      <c r="J676" s="68"/>
    </row>
    <row r="677" ht="15.75" customHeight="1">
      <c r="B677" s="7"/>
      <c r="F677" s="68"/>
      <c r="J677" s="68"/>
    </row>
    <row r="678" ht="15.75" customHeight="1">
      <c r="B678" s="7"/>
      <c r="F678" s="68"/>
      <c r="J678" s="68"/>
    </row>
    <row r="679" ht="15.75" customHeight="1">
      <c r="B679" s="7"/>
      <c r="F679" s="68"/>
      <c r="J679" s="68"/>
    </row>
    <row r="680" ht="15.75" customHeight="1">
      <c r="B680" s="7"/>
      <c r="F680" s="68"/>
      <c r="J680" s="68"/>
    </row>
    <row r="681" ht="15.75" customHeight="1">
      <c r="B681" s="7"/>
      <c r="F681" s="68"/>
      <c r="J681" s="68"/>
    </row>
    <row r="682" ht="15.75" customHeight="1">
      <c r="B682" s="7"/>
      <c r="F682" s="68"/>
      <c r="J682" s="68"/>
    </row>
    <row r="683" ht="15.75" customHeight="1">
      <c r="B683" s="7"/>
      <c r="F683" s="68"/>
      <c r="J683" s="68"/>
    </row>
    <row r="684" ht="15.75" customHeight="1">
      <c r="B684" s="7"/>
      <c r="F684" s="68"/>
      <c r="J684" s="68"/>
    </row>
    <row r="685" ht="15.75" customHeight="1">
      <c r="B685" s="7"/>
      <c r="F685" s="68"/>
      <c r="J685" s="68"/>
    </row>
    <row r="686" ht="15.75" customHeight="1">
      <c r="B686" s="7"/>
      <c r="F686" s="68"/>
      <c r="J686" s="68"/>
    </row>
    <row r="687" ht="15.75" customHeight="1">
      <c r="B687" s="7"/>
      <c r="F687" s="68"/>
      <c r="J687" s="68"/>
    </row>
    <row r="688" ht="15.75" customHeight="1">
      <c r="B688" s="7"/>
      <c r="F688" s="68"/>
      <c r="J688" s="68"/>
    </row>
    <row r="689" ht="15.75" customHeight="1">
      <c r="B689" s="7"/>
      <c r="F689" s="68"/>
      <c r="J689" s="68"/>
    </row>
    <row r="690" ht="15.75" customHeight="1">
      <c r="B690" s="7"/>
      <c r="F690" s="68"/>
      <c r="J690" s="68"/>
    </row>
    <row r="691" ht="15.75" customHeight="1">
      <c r="B691" s="7"/>
      <c r="F691" s="68"/>
      <c r="J691" s="68"/>
    </row>
    <row r="692" ht="15.75" customHeight="1">
      <c r="B692" s="7"/>
      <c r="F692" s="68"/>
      <c r="J692" s="68"/>
    </row>
    <row r="693" ht="15.75" customHeight="1">
      <c r="B693" s="7"/>
      <c r="F693" s="68"/>
      <c r="J693" s="68"/>
    </row>
    <row r="694" ht="15.75" customHeight="1">
      <c r="B694" s="7"/>
      <c r="F694" s="68"/>
      <c r="J694" s="68"/>
    </row>
    <row r="695" ht="15.75" customHeight="1">
      <c r="B695" s="7"/>
      <c r="F695" s="68"/>
      <c r="J695" s="68"/>
    </row>
    <row r="696" ht="15.75" customHeight="1">
      <c r="B696" s="7"/>
      <c r="F696" s="68"/>
      <c r="J696" s="68"/>
    </row>
    <row r="697" ht="15.75" customHeight="1">
      <c r="B697" s="7"/>
      <c r="F697" s="68"/>
      <c r="J697" s="68"/>
    </row>
    <row r="698" ht="15.75" customHeight="1">
      <c r="B698" s="7"/>
      <c r="F698" s="68"/>
      <c r="J698" s="68"/>
    </row>
    <row r="699" ht="15.75" customHeight="1">
      <c r="B699" s="7"/>
      <c r="F699" s="68"/>
      <c r="J699" s="68"/>
    </row>
    <row r="700" ht="15.75" customHeight="1">
      <c r="B700" s="7"/>
      <c r="F700" s="68"/>
      <c r="J700" s="68"/>
    </row>
    <row r="701" ht="15.75" customHeight="1">
      <c r="B701" s="7"/>
      <c r="F701" s="68"/>
      <c r="J701" s="68"/>
    </row>
    <row r="702" ht="15.75" customHeight="1">
      <c r="B702" s="7"/>
      <c r="F702" s="68"/>
      <c r="J702" s="68"/>
    </row>
    <row r="703" ht="15.75" customHeight="1">
      <c r="B703" s="7"/>
      <c r="F703" s="68"/>
      <c r="J703" s="68"/>
    </row>
    <row r="704" ht="15.75" customHeight="1">
      <c r="B704" s="7"/>
      <c r="F704" s="68"/>
      <c r="J704" s="68"/>
    </row>
    <row r="705" ht="15.75" customHeight="1">
      <c r="B705" s="7"/>
      <c r="F705" s="68"/>
      <c r="J705" s="68"/>
    </row>
    <row r="706" ht="15.75" customHeight="1">
      <c r="B706" s="7"/>
      <c r="F706" s="68"/>
      <c r="J706" s="68"/>
    </row>
    <row r="707" ht="15.75" customHeight="1">
      <c r="B707" s="7"/>
      <c r="F707" s="68"/>
      <c r="J707" s="68"/>
    </row>
    <row r="708" ht="15.75" customHeight="1">
      <c r="B708" s="7"/>
      <c r="F708" s="68"/>
      <c r="J708" s="68"/>
    </row>
    <row r="709" ht="15.75" customHeight="1">
      <c r="B709" s="7"/>
      <c r="F709" s="68"/>
      <c r="J709" s="68"/>
    </row>
    <row r="710" ht="15.75" customHeight="1">
      <c r="B710" s="7"/>
      <c r="F710" s="68"/>
      <c r="J710" s="68"/>
    </row>
    <row r="711" ht="15.75" customHeight="1">
      <c r="B711" s="7"/>
      <c r="F711" s="68"/>
      <c r="J711" s="68"/>
    </row>
    <row r="712" ht="15.75" customHeight="1">
      <c r="B712" s="7"/>
      <c r="F712" s="68"/>
      <c r="J712" s="68"/>
    </row>
    <row r="713" ht="15.75" customHeight="1">
      <c r="B713" s="7"/>
      <c r="F713" s="68"/>
      <c r="J713" s="68"/>
    </row>
    <row r="714" ht="15.75" customHeight="1">
      <c r="B714" s="7"/>
      <c r="F714" s="68"/>
      <c r="J714" s="68"/>
    </row>
    <row r="715" ht="15.75" customHeight="1">
      <c r="B715" s="7"/>
      <c r="F715" s="68"/>
      <c r="J715" s="68"/>
    </row>
    <row r="716" ht="15.75" customHeight="1">
      <c r="B716" s="7"/>
      <c r="F716" s="68"/>
      <c r="J716" s="68"/>
    </row>
    <row r="717" ht="15.75" customHeight="1">
      <c r="B717" s="7"/>
      <c r="F717" s="68"/>
      <c r="J717" s="68"/>
    </row>
    <row r="718" ht="15.75" customHeight="1">
      <c r="B718" s="7"/>
      <c r="F718" s="68"/>
      <c r="J718" s="68"/>
    </row>
    <row r="719" ht="15.75" customHeight="1">
      <c r="B719" s="7"/>
      <c r="F719" s="68"/>
      <c r="J719" s="68"/>
    </row>
    <row r="720" ht="15.75" customHeight="1">
      <c r="B720" s="7"/>
      <c r="F720" s="68"/>
      <c r="J720" s="68"/>
    </row>
    <row r="721" ht="15.75" customHeight="1">
      <c r="B721" s="7"/>
      <c r="F721" s="68"/>
      <c r="J721" s="68"/>
    </row>
    <row r="722" ht="15.75" customHeight="1">
      <c r="B722" s="7"/>
      <c r="F722" s="68"/>
      <c r="J722" s="68"/>
    </row>
    <row r="723" ht="15.75" customHeight="1">
      <c r="B723" s="7"/>
      <c r="F723" s="68"/>
      <c r="J723" s="68"/>
    </row>
    <row r="724" ht="15.75" customHeight="1">
      <c r="B724" s="7"/>
      <c r="F724" s="68"/>
      <c r="J724" s="68"/>
    </row>
    <row r="725" ht="15.75" customHeight="1">
      <c r="B725" s="7"/>
      <c r="F725" s="68"/>
      <c r="J725" s="68"/>
    </row>
    <row r="726" ht="15.75" customHeight="1">
      <c r="B726" s="7"/>
      <c r="F726" s="68"/>
      <c r="J726" s="68"/>
    </row>
    <row r="727" ht="15.75" customHeight="1">
      <c r="B727" s="7"/>
      <c r="F727" s="68"/>
      <c r="J727" s="68"/>
    </row>
    <row r="728" ht="15.75" customHeight="1">
      <c r="B728" s="7"/>
      <c r="F728" s="68"/>
      <c r="J728" s="68"/>
    </row>
    <row r="729" ht="15.75" customHeight="1">
      <c r="B729" s="7"/>
      <c r="F729" s="68"/>
      <c r="J729" s="68"/>
    </row>
    <row r="730" ht="15.75" customHeight="1">
      <c r="B730" s="7"/>
      <c r="F730" s="68"/>
      <c r="J730" s="68"/>
    </row>
    <row r="731" ht="15.75" customHeight="1">
      <c r="B731" s="7"/>
      <c r="F731" s="68"/>
      <c r="J731" s="68"/>
    </row>
    <row r="732" ht="15.75" customHeight="1">
      <c r="B732" s="7"/>
      <c r="F732" s="68"/>
      <c r="J732" s="68"/>
    </row>
    <row r="733" ht="15.75" customHeight="1">
      <c r="B733" s="7"/>
      <c r="F733" s="68"/>
      <c r="J733" s="68"/>
    </row>
    <row r="734" ht="15.75" customHeight="1">
      <c r="B734" s="7"/>
      <c r="F734" s="68"/>
      <c r="J734" s="68"/>
    </row>
    <row r="735" ht="15.75" customHeight="1">
      <c r="B735" s="7"/>
      <c r="F735" s="68"/>
      <c r="J735" s="68"/>
    </row>
    <row r="736" ht="15.75" customHeight="1">
      <c r="B736" s="7"/>
      <c r="F736" s="68"/>
      <c r="J736" s="68"/>
    </row>
    <row r="737" ht="15.75" customHeight="1">
      <c r="B737" s="7"/>
      <c r="F737" s="68"/>
      <c r="J737" s="68"/>
    </row>
    <row r="738" ht="15.75" customHeight="1">
      <c r="B738" s="7"/>
      <c r="F738" s="68"/>
      <c r="J738" s="68"/>
    </row>
    <row r="739" ht="15.75" customHeight="1">
      <c r="B739" s="7"/>
      <c r="F739" s="68"/>
      <c r="J739" s="68"/>
    </row>
    <row r="740" ht="15.75" customHeight="1">
      <c r="B740" s="7"/>
      <c r="F740" s="68"/>
      <c r="J740" s="68"/>
    </row>
    <row r="741" ht="15.75" customHeight="1">
      <c r="B741" s="7"/>
      <c r="F741" s="68"/>
      <c r="J741" s="68"/>
    </row>
    <row r="742" ht="15.75" customHeight="1">
      <c r="B742" s="7"/>
      <c r="F742" s="68"/>
      <c r="J742" s="68"/>
    </row>
    <row r="743" ht="15.75" customHeight="1">
      <c r="B743" s="7"/>
      <c r="F743" s="68"/>
      <c r="J743" s="68"/>
    </row>
    <row r="744" ht="15.75" customHeight="1">
      <c r="B744" s="7"/>
      <c r="F744" s="68"/>
      <c r="J744" s="68"/>
    </row>
    <row r="745" ht="15.75" customHeight="1">
      <c r="B745" s="7"/>
      <c r="F745" s="68"/>
      <c r="J745" s="68"/>
    </row>
    <row r="746" ht="15.75" customHeight="1">
      <c r="B746" s="7"/>
      <c r="F746" s="68"/>
      <c r="J746" s="68"/>
    </row>
    <row r="747" ht="15.75" customHeight="1">
      <c r="B747" s="7"/>
      <c r="F747" s="68"/>
      <c r="J747" s="68"/>
    </row>
    <row r="748" ht="15.75" customHeight="1">
      <c r="B748" s="7"/>
      <c r="F748" s="68"/>
      <c r="J748" s="68"/>
    </row>
    <row r="749" ht="15.75" customHeight="1">
      <c r="B749" s="7"/>
      <c r="F749" s="68"/>
      <c r="J749" s="68"/>
    </row>
    <row r="750" ht="15.75" customHeight="1">
      <c r="B750" s="7"/>
      <c r="F750" s="68"/>
      <c r="J750" s="68"/>
    </row>
    <row r="751" ht="15.75" customHeight="1">
      <c r="B751" s="7"/>
      <c r="F751" s="68"/>
      <c r="J751" s="68"/>
    </row>
    <row r="752" ht="15.75" customHeight="1">
      <c r="B752" s="7"/>
      <c r="F752" s="68"/>
      <c r="J752" s="68"/>
    </row>
    <row r="753" ht="15.75" customHeight="1">
      <c r="B753" s="7"/>
      <c r="F753" s="68"/>
      <c r="J753" s="68"/>
    </row>
    <row r="754" ht="15.75" customHeight="1">
      <c r="B754" s="7"/>
      <c r="F754" s="68"/>
      <c r="J754" s="68"/>
    </row>
    <row r="755" ht="15.75" customHeight="1">
      <c r="B755" s="7"/>
      <c r="F755" s="68"/>
      <c r="J755" s="68"/>
    </row>
    <row r="756" ht="15.75" customHeight="1">
      <c r="B756" s="7"/>
      <c r="F756" s="68"/>
      <c r="J756" s="68"/>
    </row>
    <row r="757" ht="15.75" customHeight="1">
      <c r="B757" s="7"/>
      <c r="F757" s="68"/>
      <c r="J757" s="68"/>
    </row>
    <row r="758" ht="15.75" customHeight="1">
      <c r="B758" s="7"/>
      <c r="F758" s="68"/>
      <c r="J758" s="68"/>
    </row>
    <row r="759" ht="15.75" customHeight="1">
      <c r="B759" s="7"/>
      <c r="F759" s="68"/>
      <c r="J759" s="68"/>
    </row>
    <row r="760" ht="15.75" customHeight="1">
      <c r="B760" s="7"/>
      <c r="F760" s="68"/>
      <c r="J760" s="68"/>
    </row>
    <row r="761" ht="15.75" customHeight="1">
      <c r="B761" s="7"/>
      <c r="F761" s="68"/>
      <c r="J761" s="68"/>
    </row>
    <row r="762" ht="15.75" customHeight="1">
      <c r="B762" s="7"/>
      <c r="F762" s="68"/>
      <c r="J762" s="68"/>
    </row>
    <row r="763" ht="15.75" customHeight="1">
      <c r="B763" s="7"/>
      <c r="F763" s="68"/>
      <c r="J763" s="68"/>
    </row>
    <row r="764" ht="15.75" customHeight="1">
      <c r="B764" s="7"/>
      <c r="F764" s="68"/>
      <c r="J764" s="68"/>
    </row>
    <row r="765" ht="15.75" customHeight="1">
      <c r="B765" s="7"/>
      <c r="F765" s="68"/>
      <c r="J765" s="68"/>
    </row>
    <row r="766" ht="15.75" customHeight="1">
      <c r="B766" s="7"/>
      <c r="F766" s="68"/>
      <c r="J766" s="68"/>
    </row>
    <row r="767" ht="15.75" customHeight="1">
      <c r="B767" s="7"/>
      <c r="F767" s="68"/>
      <c r="J767" s="68"/>
    </row>
    <row r="768" ht="15.75" customHeight="1">
      <c r="B768" s="7"/>
      <c r="F768" s="68"/>
      <c r="J768" s="68"/>
    </row>
    <row r="769" ht="15.75" customHeight="1">
      <c r="B769" s="7"/>
      <c r="F769" s="68"/>
      <c r="J769" s="68"/>
    </row>
    <row r="770" ht="15.75" customHeight="1">
      <c r="B770" s="7"/>
      <c r="F770" s="68"/>
      <c r="J770" s="68"/>
    </row>
    <row r="771" ht="15.75" customHeight="1">
      <c r="B771" s="7"/>
      <c r="F771" s="68"/>
      <c r="J771" s="68"/>
    </row>
    <row r="772" ht="15.75" customHeight="1">
      <c r="B772" s="7"/>
      <c r="F772" s="68"/>
      <c r="J772" s="68"/>
    </row>
    <row r="773" ht="15.75" customHeight="1">
      <c r="B773" s="7"/>
      <c r="F773" s="68"/>
      <c r="J773" s="68"/>
    </row>
    <row r="774" ht="15.75" customHeight="1">
      <c r="B774" s="7"/>
      <c r="F774" s="68"/>
      <c r="J774" s="68"/>
    </row>
    <row r="775" ht="15.75" customHeight="1">
      <c r="B775" s="7"/>
      <c r="F775" s="68"/>
      <c r="J775" s="68"/>
    </row>
    <row r="776" ht="15.75" customHeight="1">
      <c r="B776" s="7"/>
      <c r="F776" s="68"/>
      <c r="J776" s="68"/>
    </row>
    <row r="777" ht="15.75" customHeight="1">
      <c r="B777" s="7"/>
      <c r="F777" s="68"/>
      <c r="J777" s="68"/>
    </row>
    <row r="778" ht="15.75" customHeight="1">
      <c r="B778" s="7"/>
      <c r="F778" s="68"/>
      <c r="J778" s="68"/>
    </row>
    <row r="779" ht="15.75" customHeight="1">
      <c r="B779" s="7"/>
      <c r="F779" s="68"/>
      <c r="J779" s="68"/>
    </row>
    <row r="780" ht="15.75" customHeight="1">
      <c r="B780" s="7"/>
      <c r="F780" s="68"/>
      <c r="J780" s="68"/>
    </row>
    <row r="781" ht="15.75" customHeight="1">
      <c r="B781" s="7"/>
      <c r="F781" s="68"/>
      <c r="J781" s="68"/>
    </row>
    <row r="782" ht="15.75" customHeight="1">
      <c r="B782" s="7"/>
      <c r="F782" s="68"/>
      <c r="J782" s="68"/>
    </row>
    <row r="783" ht="15.75" customHeight="1">
      <c r="B783" s="7"/>
      <c r="F783" s="68"/>
      <c r="J783" s="68"/>
    </row>
    <row r="784" ht="15.75" customHeight="1">
      <c r="B784" s="7"/>
      <c r="F784" s="68"/>
      <c r="J784" s="68"/>
    </row>
    <row r="785" ht="15.75" customHeight="1">
      <c r="B785" s="7"/>
      <c r="F785" s="68"/>
      <c r="J785" s="68"/>
    </row>
    <row r="786" ht="15.75" customHeight="1">
      <c r="B786" s="7"/>
      <c r="F786" s="68"/>
      <c r="J786" s="68"/>
    </row>
    <row r="787" ht="15.75" customHeight="1">
      <c r="B787" s="7"/>
      <c r="F787" s="68"/>
      <c r="J787" s="68"/>
    </row>
    <row r="788" ht="15.75" customHeight="1">
      <c r="B788" s="7"/>
      <c r="F788" s="68"/>
      <c r="J788" s="68"/>
    </row>
    <row r="789" ht="15.75" customHeight="1">
      <c r="B789" s="7"/>
      <c r="F789" s="68"/>
      <c r="J789" s="68"/>
    </row>
    <row r="790" ht="15.75" customHeight="1">
      <c r="B790" s="7"/>
      <c r="F790" s="68"/>
      <c r="J790" s="68"/>
    </row>
    <row r="791" ht="15.75" customHeight="1">
      <c r="B791" s="7"/>
      <c r="F791" s="68"/>
      <c r="J791" s="68"/>
    </row>
    <row r="792" ht="15.75" customHeight="1">
      <c r="B792" s="7"/>
      <c r="F792" s="68"/>
      <c r="J792" s="68"/>
    </row>
    <row r="793" ht="15.75" customHeight="1">
      <c r="B793" s="7"/>
      <c r="F793" s="68"/>
      <c r="J793" s="68"/>
    </row>
    <row r="794" ht="15.75" customHeight="1">
      <c r="B794" s="7"/>
      <c r="F794" s="68"/>
      <c r="J794" s="68"/>
    </row>
    <row r="795" ht="15.75" customHeight="1">
      <c r="B795" s="7"/>
      <c r="F795" s="68"/>
      <c r="J795" s="68"/>
    </row>
    <row r="796" ht="15.75" customHeight="1">
      <c r="B796" s="7"/>
      <c r="F796" s="68"/>
      <c r="J796" s="68"/>
    </row>
    <row r="797" ht="15.75" customHeight="1">
      <c r="B797" s="7"/>
      <c r="F797" s="68"/>
      <c r="J797" s="68"/>
    </row>
    <row r="798" ht="15.75" customHeight="1">
      <c r="B798" s="7"/>
      <c r="F798" s="68"/>
      <c r="J798" s="68"/>
    </row>
    <row r="799" ht="15.75" customHeight="1">
      <c r="B799" s="7"/>
      <c r="F799" s="68"/>
      <c r="J799" s="68"/>
    </row>
    <row r="800" ht="15.75" customHeight="1">
      <c r="B800" s="7"/>
      <c r="F800" s="68"/>
      <c r="J800" s="68"/>
    </row>
    <row r="801" ht="15.75" customHeight="1">
      <c r="B801" s="7"/>
      <c r="F801" s="68"/>
      <c r="J801" s="68"/>
    </row>
    <row r="802" ht="15.75" customHeight="1">
      <c r="B802" s="7"/>
      <c r="F802" s="68"/>
      <c r="J802" s="68"/>
    </row>
    <row r="803" ht="15.75" customHeight="1">
      <c r="B803" s="7"/>
      <c r="F803" s="68"/>
      <c r="J803" s="68"/>
    </row>
    <row r="804" ht="15.75" customHeight="1">
      <c r="B804" s="7"/>
      <c r="F804" s="68"/>
      <c r="J804" s="68"/>
    </row>
    <row r="805" ht="15.75" customHeight="1">
      <c r="B805" s="7"/>
      <c r="F805" s="68"/>
      <c r="J805" s="68"/>
    </row>
    <row r="806" ht="15.75" customHeight="1">
      <c r="B806" s="7"/>
      <c r="F806" s="68"/>
      <c r="J806" s="68"/>
    </row>
    <row r="807" ht="15.75" customHeight="1">
      <c r="B807" s="7"/>
      <c r="F807" s="68"/>
      <c r="J807" s="68"/>
    </row>
    <row r="808" ht="15.75" customHeight="1">
      <c r="B808" s="7"/>
      <c r="F808" s="68"/>
      <c r="J808" s="68"/>
    </row>
    <row r="809" ht="15.75" customHeight="1">
      <c r="B809" s="7"/>
      <c r="F809" s="68"/>
      <c r="J809" s="68"/>
    </row>
    <row r="810" ht="15.75" customHeight="1">
      <c r="B810" s="7"/>
      <c r="F810" s="68"/>
      <c r="J810" s="68"/>
    </row>
    <row r="811" ht="15.75" customHeight="1">
      <c r="B811" s="7"/>
      <c r="F811" s="68"/>
      <c r="J811" s="68"/>
    </row>
    <row r="812" ht="15.75" customHeight="1">
      <c r="B812" s="7"/>
      <c r="F812" s="68"/>
      <c r="J812" s="68"/>
    </row>
    <row r="813" ht="15.75" customHeight="1">
      <c r="B813" s="7"/>
      <c r="F813" s="68"/>
      <c r="J813" s="68"/>
    </row>
    <row r="814" ht="15.75" customHeight="1">
      <c r="B814" s="7"/>
      <c r="F814" s="68"/>
      <c r="J814" s="68"/>
    </row>
    <row r="815" ht="15.75" customHeight="1">
      <c r="B815" s="7"/>
      <c r="F815" s="68"/>
      <c r="J815" s="68"/>
    </row>
    <row r="816" ht="15.75" customHeight="1">
      <c r="B816" s="7"/>
      <c r="F816" s="68"/>
      <c r="J816" s="68"/>
    </row>
    <row r="817" ht="15.75" customHeight="1">
      <c r="B817" s="7"/>
      <c r="F817" s="68"/>
      <c r="J817" s="68"/>
    </row>
    <row r="818" ht="15.75" customHeight="1">
      <c r="B818" s="7"/>
      <c r="F818" s="68"/>
      <c r="J818" s="68"/>
    </row>
    <row r="819" ht="15.75" customHeight="1">
      <c r="B819" s="7"/>
      <c r="F819" s="68"/>
      <c r="J819" s="68"/>
    </row>
    <row r="820" ht="15.75" customHeight="1">
      <c r="B820" s="7"/>
      <c r="F820" s="68"/>
      <c r="J820" s="68"/>
    </row>
    <row r="821" ht="15.75" customHeight="1">
      <c r="B821" s="7"/>
      <c r="F821" s="68"/>
      <c r="J821" s="68"/>
    </row>
    <row r="822" ht="15.75" customHeight="1">
      <c r="B822" s="7"/>
      <c r="F822" s="68"/>
      <c r="J822" s="68"/>
    </row>
    <row r="823" ht="15.75" customHeight="1">
      <c r="B823" s="7"/>
      <c r="F823" s="68"/>
      <c r="J823" s="68"/>
    </row>
    <row r="824" ht="15.75" customHeight="1">
      <c r="B824" s="7"/>
      <c r="F824" s="68"/>
      <c r="J824" s="68"/>
    </row>
    <row r="825" ht="15.75" customHeight="1">
      <c r="B825" s="7"/>
      <c r="F825" s="68"/>
      <c r="J825" s="68"/>
    </row>
    <row r="826" ht="15.75" customHeight="1">
      <c r="B826" s="7"/>
      <c r="F826" s="68"/>
      <c r="J826" s="68"/>
    </row>
    <row r="827" ht="15.75" customHeight="1">
      <c r="B827" s="7"/>
      <c r="F827" s="68"/>
      <c r="J827" s="68"/>
    </row>
    <row r="828" ht="15.75" customHeight="1">
      <c r="B828" s="7"/>
      <c r="F828" s="68"/>
      <c r="J828" s="68"/>
    </row>
    <row r="829" ht="15.75" customHeight="1">
      <c r="B829" s="7"/>
      <c r="F829" s="68"/>
      <c r="J829" s="68"/>
    </row>
    <row r="830" ht="15.75" customHeight="1">
      <c r="B830" s="7"/>
      <c r="F830" s="68"/>
      <c r="J830" s="68"/>
    </row>
    <row r="831" ht="15.75" customHeight="1">
      <c r="B831" s="7"/>
      <c r="F831" s="68"/>
      <c r="J831" s="68"/>
    </row>
    <row r="832" ht="15.75" customHeight="1">
      <c r="B832" s="7"/>
      <c r="F832" s="68"/>
      <c r="J832" s="68"/>
    </row>
    <row r="833" ht="15.75" customHeight="1">
      <c r="B833" s="7"/>
      <c r="F833" s="68"/>
      <c r="J833" s="68"/>
    </row>
    <row r="834" ht="15.75" customHeight="1">
      <c r="B834" s="7"/>
      <c r="F834" s="68"/>
      <c r="J834" s="68"/>
    </row>
    <row r="835" ht="15.75" customHeight="1">
      <c r="B835" s="7"/>
      <c r="F835" s="68"/>
      <c r="J835" s="68"/>
    </row>
    <row r="836" ht="15.75" customHeight="1">
      <c r="B836" s="7"/>
      <c r="F836" s="68"/>
      <c r="J836" s="68"/>
    </row>
    <row r="837" ht="15.75" customHeight="1">
      <c r="B837" s="7"/>
      <c r="F837" s="68"/>
      <c r="J837" s="68"/>
    </row>
    <row r="838" ht="15.75" customHeight="1">
      <c r="B838" s="7"/>
      <c r="F838" s="68"/>
      <c r="J838" s="68"/>
    </row>
    <row r="839" ht="15.75" customHeight="1">
      <c r="B839" s="7"/>
      <c r="F839" s="68"/>
      <c r="J839" s="68"/>
    </row>
    <row r="840" ht="15.75" customHeight="1">
      <c r="B840" s="7"/>
      <c r="F840" s="68"/>
      <c r="J840" s="68"/>
    </row>
    <row r="841" ht="15.75" customHeight="1">
      <c r="B841" s="7"/>
      <c r="F841" s="68"/>
      <c r="J841" s="68"/>
    </row>
    <row r="842" ht="15.75" customHeight="1">
      <c r="B842" s="7"/>
      <c r="F842" s="68"/>
      <c r="J842" s="68"/>
    </row>
    <row r="843" ht="15.75" customHeight="1">
      <c r="B843" s="7"/>
      <c r="F843" s="68"/>
      <c r="J843" s="68"/>
    </row>
    <row r="844" ht="15.75" customHeight="1">
      <c r="B844" s="7"/>
      <c r="F844" s="68"/>
      <c r="J844" s="68"/>
    </row>
    <row r="845" ht="15.75" customHeight="1">
      <c r="B845" s="7"/>
      <c r="F845" s="68"/>
      <c r="J845" s="68"/>
    </row>
    <row r="846" ht="15.75" customHeight="1">
      <c r="B846" s="7"/>
      <c r="F846" s="68"/>
      <c r="J846" s="68"/>
    </row>
    <row r="847" ht="15.75" customHeight="1">
      <c r="B847" s="7"/>
      <c r="F847" s="68"/>
      <c r="J847" s="68"/>
    </row>
    <row r="848" ht="15.75" customHeight="1">
      <c r="B848" s="7"/>
      <c r="F848" s="68"/>
      <c r="J848" s="68"/>
    </row>
    <row r="849" ht="15.75" customHeight="1">
      <c r="B849" s="7"/>
      <c r="F849" s="68"/>
      <c r="J849" s="68"/>
    </row>
    <row r="850" ht="15.75" customHeight="1">
      <c r="B850" s="7"/>
      <c r="F850" s="68"/>
      <c r="J850" s="68"/>
    </row>
    <row r="851" ht="15.75" customHeight="1">
      <c r="B851" s="7"/>
      <c r="F851" s="68"/>
      <c r="J851" s="68"/>
    </row>
    <row r="852" ht="15.75" customHeight="1">
      <c r="B852" s="7"/>
      <c r="F852" s="68"/>
      <c r="J852" s="68"/>
    </row>
    <row r="853" ht="15.75" customHeight="1">
      <c r="B853" s="7"/>
      <c r="F853" s="68"/>
      <c r="J853" s="68"/>
    </row>
    <row r="854" ht="15.75" customHeight="1">
      <c r="B854" s="7"/>
      <c r="F854" s="68"/>
      <c r="J854" s="68"/>
    </row>
    <row r="855" ht="15.75" customHeight="1">
      <c r="B855" s="7"/>
      <c r="F855" s="68"/>
      <c r="J855" s="68"/>
    </row>
    <row r="856" ht="15.75" customHeight="1">
      <c r="B856" s="7"/>
      <c r="F856" s="68"/>
      <c r="J856" s="68"/>
    </row>
    <row r="857" ht="15.75" customHeight="1">
      <c r="B857" s="7"/>
      <c r="F857" s="68"/>
      <c r="J857" s="68"/>
    </row>
    <row r="858" ht="15.75" customHeight="1">
      <c r="B858" s="7"/>
      <c r="F858" s="68"/>
      <c r="J858" s="68"/>
    </row>
    <row r="859" ht="15.75" customHeight="1">
      <c r="B859" s="7"/>
      <c r="F859" s="68"/>
      <c r="J859" s="68"/>
    </row>
    <row r="860" ht="15.75" customHeight="1">
      <c r="B860" s="7"/>
      <c r="F860" s="68"/>
      <c r="J860" s="68"/>
    </row>
    <row r="861" ht="15.75" customHeight="1">
      <c r="B861" s="7"/>
      <c r="F861" s="68"/>
      <c r="J861" s="68"/>
    </row>
    <row r="862" ht="15.75" customHeight="1">
      <c r="B862" s="7"/>
      <c r="F862" s="68"/>
      <c r="J862" s="68"/>
    </row>
    <row r="863" ht="15.75" customHeight="1">
      <c r="B863" s="7"/>
      <c r="F863" s="68"/>
      <c r="J863" s="68"/>
    </row>
    <row r="864" ht="15.75" customHeight="1">
      <c r="B864" s="7"/>
      <c r="F864" s="68"/>
      <c r="J864" s="68"/>
    </row>
    <row r="865" ht="15.75" customHeight="1">
      <c r="B865" s="7"/>
      <c r="F865" s="68"/>
      <c r="J865" s="68"/>
    </row>
    <row r="866" ht="15.75" customHeight="1">
      <c r="B866" s="7"/>
      <c r="F866" s="68"/>
      <c r="J866" s="68"/>
    </row>
    <row r="867" ht="15.75" customHeight="1">
      <c r="B867" s="7"/>
      <c r="F867" s="68"/>
      <c r="J867" s="68"/>
    </row>
    <row r="868" ht="15.75" customHeight="1">
      <c r="B868" s="7"/>
      <c r="F868" s="68"/>
      <c r="J868" s="68"/>
    </row>
    <row r="869" ht="15.75" customHeight="1">
      <c r="B869" s="7"/>
      <c r="F869" s="68"/>
      <c r="J869" s="68"/>
    </row>
    <row r="870" ht="15.75" customHeight="1">
      <c r="B870" s="7"/>
      <c r="F870" s="68"/>
      <c r="J870" s="68"/>
    </row>
    <row r="871" ht="15.75" customHeight="1">
      <c r="B871" s="7"/>
      <c r="F871" s="68"/>
      <c r="J871" s="68"/>
    </row>
    <row r="872" ht="15.75" customHeight="1">
      <c r="B872" s="7"/>
      <c r="F872" s="68"/>
      <c r="J872" s="68"/>
    </row>
    <row r="873" ht="15.75" customHeight="1">
      <c r="B873" s="7"/>
      <c r="F873" s="68"/>
      <c r="J873" s="68"/>
    </row>
    <row r="874" ht="15.75" customHeight="1">
      <c r="B874" s="7"/>
      <c r="F874" s="68"/>
      <c r="J874" s="68"/>
    </row>
    <row r="875" ht="15.75" customHeight="1">
      <c r="B875" s="7"/>
      <c r="F875" s="68"/>
      <c r="J875" s="68"/>
    </row>
    <row r="876" ht="15.75" customHeight="1">
      <c r="B876" s="7"/>
      <c r="F876" s="68"/>
      <c r="J876" s="68"/>
    </row>
    <row r="877" ht="15.75" customHeight="1">
      <c r="B877" s="7"/>
      <c r="F877" s="68"/>
      <c r="J877" s="68"/>
    </row>
    <row r="878" ht="15.75" customHeight="1">
      <c r="B878" s="7"/>
      <c r="F878" s="68"/>
      <c r="J878" s="68"/>
    </row>
    <row r="879" ht="15.75" customHeight="1">
      <c r="B879" s="7"/>
      <c r="F879" s="68"/>
      <c r="J879" s="68"/>
    </row>
    <row r="880" ht="15.75" customHeight="1">
      <c r="B880" s="7"/>
      <c r="F880" s="68"/>
      <c r="J880" s="68"/>
    </row>
    <row r="881" ht="15.75" customHeight="1">
      <c r="B881" s="7"/>
      <c r="F881" s="68"/>
      <c r="J881" s="68"/>
    </row>
    <row r="882" ht="15.75" customHeight="1">
      <c r="B882" s="7"/>
      <c r="F882" s="68"/>
      <c r="J882" s="68"/>
    </row>
    <row r="883" ht="15.75" customHeight="1">
      <c r="B883" s="7"/>
      <c r="F883" s="68"/>
      <c r="J883" s="68"/>
    </row>
    <row r="884" ht="15.75" customHeight="1">
      <c r="B884" s="7"/>
      <c r="F884" s="68"/>
      <c r="J884" s="68"/>
    </row>
    <row r="885" ht="15.75" customHeight="1">
      <c r="B885" s="7"/>
      <c r="F885" s="68"/>
      <c r="J885" s="68"/>
    </row>
    <row r="886" ht="15.75" customHeight="1">
      <c r="B886" s="7"/>
      <c r="F886" s="68"/>
      <c r="J886" s="68"/>
    </row>
    <row r="887" ht="15.75" customHeight="1">
      <c r="B887" s="7"/>
      <c r="F887" s="68"/>
      <c r="J887" s="68"/>
    </row>
    <row r="888" ht="15.75" customHeight="1">
      <c r="B888" s="7"/>
      <c r="F888" s="68"/>
      <c r="J888" s="68"/>
    </row>
    <row r="889" ht="15.75" customHeight="1">
      <c r="B889" s="7"/>
      <c r="F889" s="68"/>
      <c r="J889" s="68"/>
    </row>
    <row r="890" ht="15.75" customHeight="1">
      <c r="B890" s="7"/>
      <c r="F890" s="68"/>
      <c r="J890" s="68"/>
    </row>
    <row r="891" ht="15.75" customHeight="1">
      <c r="B891" s="7"/>
      <c r="F891" s="68"/>
      <c r="J891" s="68"/>
    </row>
    <row r="892" ht="15.75" customHeight="1">
      <c r="B892" s="7"/>
      <c r="F892" s="68"/>
      <c r="J892" s="68"/>
    </row>
    <row r="893" ht="15.75" customHeight="1">
      <c r="B893" s="7"/>
      <c r="F893" s="68"/>
      <c r="J893" s="68"/>
    </row>
    <row r="894" ht="15.75" customHeight="1">
      <c r="B894" s="7"/>
      <c r="F894" s="68"/>
      <c r="J894" s="68"/>
    </row>
    <row r="895" ht="15.75" customHeight="1">
      <c r="B895" s="7"/>
      <c r="F895" s="68"/>
      <c r="J895" s="68"/>
    </row>
    <row r="896" ht="15.75" customHeight="1">
      <c r="B896" s="7"/>
      <c r="F896" s="68"/>
      <c r="J896" s="68"/>
    </row>
    <row r="897" ht="15.75" customHeight="1">
      <c r="B897" s="7"/>
      <c r="F897" s="68"/>
      <c r="J897" s="68"/>
    </row>
    <row r="898" ht="15.75" customHeight="1">
      <c r="B898" s="7"/>
      <c r="F898" s="68"/>
      <c r="J898" s="68"/>
    </row>
    <row r="899" ht="15.75" customHeight="1">
      <c r="B899" s="7"/>
      <c r="F899" s="68"/>
      <c r="J899" s="68"/>
    </row>
    <row r="900" ht="15.75" customHeight="1">
      <c r="B900" s="7"/>
      <c r="F900" s="68"/>
      <c r="J900" s="68"/>
    </row>
    <row r="901" ht="15.75" customHeight="1">
      <c r="B901" s="7"/>
      <c r="F901" s="68"/>
      <c r="J901" s="68"/>
    </row>
    <row r="902" ht="15.75" customHeight="1">
      <c r="B902" s="7"/>
      <c r="F902" s="68"/>
      <c r="J902" s="68"/>
    </row>
    <row r="903" ht="15.75" customHeight="1">
      <c r="B903" s="7"/>
      <c r="F903" s="68"/>
      <c r="J903" s="68"/>
    </row>
    <row r="904" ht="15.75" customHeight="1">
      <c r="B904" s="7"/>
      <c r="F904" s="68"/>
      <c r="J904" s="68"/>
    </row>
    <row r="905" ht="15.75" customHeight="1">
      <c r="B905" s="7"/>
      <c r="F905" s="68"/>
      <c r="J905" s="68"/>
    </row>
    <row r="906" ht="15.75" customHeight="1">
      <c r="B906" s="7"/>
      <c r="F906" s="68"/>
      <c r="J906" s="68"/>
    </row>
    <row r="907" ht="15.75" customHeight="1">
      <c r="B907" s="7"/>
      <c r="F907" s="68"/>
      <c r="J907" s="68"/>
    </row>
    <row r="908" ht="15.75" customHeight="1">
      <c r="B908" s="7"/>
      <c r="F908" s="68"/>
      <c r="J908" s="68"/>
    </row>
    <row r="909" ht="15.75" customHeight="1">
      <c r="B909" s="7"/>
      <c r="F909" s="68"/>
      <c r="J909" s="68"/>
    </row>
    <row r="910" ht="15.75" customHeight="1">
      <c r="B910" s="7"/>
      <c r="F910" s="68"/>
      <c r="J910" s="68"/>
    </row>
    <row r="911" ht="15.75" customHeight="1">
      <c r="B911" s="7"/>
      <c r="F911" s="68"/>
      <c r="J911" s="68"/>
    </row>
    <row r="912" ht="15.75" customHeight="1">
      <c r="B912" s="7"/>
      <c r="F912" s="68"/>
      <c r="J912" s="68"/>
    </row>
    <row r="913" ht="15.75" customHeight="1">
      <c r="B913" s="7"/>
      <c r="F913" s="68"/>
      <c r="J913" s="68"/>
    </row>
    <row r="914" ht="15.75" customHeight="1">
      <c r="B914" s="7"/>
      <c r="F914" s="68"/>
      <c r="J914" s="68"/>
    </row>
    <row r="915" ht="15.75" customHeight="1">
      <c r="B915" s="7"/>
      <c r="F915" s="68"/>
      <c r="J915" s="68"/>
    </row>
    <row r="916" ht="15.75" customHeight="1">
      <c r="B916" s="7"/>
      <c r="F916" s="68"/>
      <c r="J916" s="68"/>
    </row>
    <row r="917" ht="15.75" customHeight="1">
      <c r="B917" s="7"/>
      <c r="F917" s="68"/>
      <c r="J917" s="68"/>
    </row>
    <row r="918" ht="15.75" customHeight="1">
      <c r="B918" s="7"/>
      <c r="F918" s="68"/>
      <c r="J918" s="68"/>
    </row>
    <row r="919" ht="15.75" customHeight="1">
      <c r="B919" s="7"/>
      <c r="F919" s="68"/>
      <c r="J919" s="68"/>
    </row>
    <row r="920" ht="15.75" customHeight="1">
      <c r="B920" s="7"/>
      <c r="F920" s="68"/>
      <c r="J920" s="68"/>
    </row>
    <row r="921" ht="15.75" customHeight="1">
      <c r="B921" s="7"/>
      <c r="F921" s="68"/>
      <c r="J921" s="68"/>
    </row>
    <row r="922" ht="15.75" customHeight="1">
      <c r="B922" s="7"/>
      <c r="F922" s="68"/>
      <c r="J922" s="68"/>
    </row>
    <row r="923" ht="15.75" customHeight="1">
      <c r="B923" s="7"/>
      <c r="F923" s="68"/>
      <c r="J923" s="68"/>
    </row>
    <row r="924" ht="15.75" customHeight="1">
      <c r="B924" s="7"/>
      <c r="F924" s="68"/>
      <c r="J924" s="68"/>
    </row>
    <row r="925" ht="15.75" customHeight="1">
      <c r="B925" s="7"/>
      <c r="F925" s="68"/>
      <c r="J925" s="68"/>
    </row>
    <row r="926" ht="15.75" customHeight="1">
      <c r="B926" s="7"/>
      <c r="F926" s="68"/>
      <c r="J926" s="68"/>
    </row>
    <row r="927" ht="15.75" customHeight="1">
      <c r="B927" s="7"/>
      <c r="F927" s="68"/>
      <c r="J927" s="68"/>
    </row>
    <row r="928" ht="15.75" customHeight="1">
      <c r="B928" s="7"/>
      <c r="F928" s="68"/>
      <c r="J928" s="68"/>
    </row>
    <row r="929" ht="15.75" customHeight="1">
      <c r="B929" s="7"/>
      <c r="F929" s="68"/>
      <c r="J929" s="68"/>
    </row>
    <row r="930" ht="15.75" customHeight="1">
      <c r="B930" s="7"/>
      <c r="F930" s="68"/>
      <c r="J930" s="68"/>
    </row>
    <row r="931" ht="15.75" customHeight="1">
      <c r="B931" s="7"/>
      <c r="F931" s="68"/>
      <c r="J931" s="68"/>
    </row>
    <row r="932" ht="15.75" customHeight="1">
      <c r="B932" s="7"/>
      <c r="F932" s="68"/>
      <c r="J932" s="68"/>
    </row>
    <row r="933" ht="15.75" customHeight="1">
      <c r="B933" s="7"/>
      <c r="F933" s="68"/>
      <c r="J933" s="68"/>
    </row>
    <row r="934" ht="15.75" customHeight="1">
      <c r="B934" s="7"/>
      <c r="F934" s="68"/>
      <c r="J934" s="68"/>
    </row>
    <row r="935" ht="15.75" customHeight="1">
      <c r="B935" s="7"/>
      <c r="F935" s="68"/>
      <c r="J935" s="68"/>
    </row>
    <row r="936" ht="15.75" customHeight="1">
      <c r="B936" s="7"/>
      <c r="F936" s="68"/>
      <c r="J936" s="68"/>
    </row>
    <row r="937" ht="15.75" customHeight="1">
      <c r="B937" s="7"/>
      <c r="F937" s="68"/>
      <c r="J937" s="68"/>
    </row>
    <row r="938" ht="15.75" customHeight="1">
      <c r="B938" s="7"/>
      <c r="F938" s="68"/>
      <c r="J938" s="68"/>
    </row>
    <row r="939" ht="15.75" customHeight="1">
      <c r="B939" s="7"/>
      <c r="F939" s="68"/>
      <c r="J939" s="68"/>
    </row>
    <row r="940" ht="15.75" customHeight="1">
      <c r="B940" s="7"/>
      <c r="F940" s="68"/>
      <c r="J940" s="68"/>
    </row>
    <row r="941" ht="15.75" customHeight="1">
      <c r="B941" s="7"/>
      <c r="F941" s="68"/>
      <c r="J941" s="68"/>
    </row>
    <row r="942" ht="15.75" customHeight="1">
      <c r="B942" s="7"/>
      <c r="F942" s="68"/>
      <c r="J942" s="68"/>
    </row>
    <row r="943" ht="15.75" customHeight="1">
      <c r="B943" s="7"/>
      <c r="F943" s="68"/>
      <c r="J943" s="68"/>
    </row>
    <row r="944" ht="15.75" customHeight="1">
      <c r="B944" s="7"/>
      <c r="F944" s="68"/>
      <c r="J944" s="68"/>
    </row>
    <row r="945" ht="15.75" customHeight="1">
      <c r="B945" s="7"/>
      <c r="F945" s="68"/>
      <c r="J945" s="68"/>
    </row>
    <row r="946" ht="15.75" customHeight="1">
      <c r="B946" s="7"/>
      <c r="F946" s="68"/>
      <c r="J946" s="68"/>
    </row>
    <row r="947" ht="15.75" customHeight="1">
      <c r="B947" s="7"/>
      <c r="F947" s="68"/>
      <c r="J947" s="68"/>
    </row>
    <row r="948" ht="15.75" customHeight="1">
      <c r="B948" s="7"/>
      <c r="F948" s="68"/>
      <c r="J948" s="68"/>
    </row>
    <row r="949" ht="15.75" customHeight="1">
      <c r="B949" s="7"/>
      <c r="F949" s="68"/>
      <c r="J949" s="68"/>
    </row>
    <row r="950" ht="15.75" customHeight="1">
      <c r="B950" s="7"/>
      <c r="F950" s="68"/>
      <c r="J950" s="68"/>
    </row>
    <row r="951" ht="15.75" customHeight="1">
      <c r="B951" s="7"/>
      <c r="F951" s="68"/>
      <c r="J951" s="68"/>
    </row>
    <row r="952" ht="15.75" customHeight="1">
      <c r="B952" s="7"/>
      <c r="F952" s="68"/>
      <c r="J952" s="68"/>
    </row>
    <row r="953" ht="15.75" customHeight="1">
      <c r="B953" s="7"/>
      <c r="F953" s="68"/>
      <c r="J953" s="68"/>
    </row>
    <row r="954" ht="15.75" customHeight="1">
      <c r="B954" s="7"/>
      <c r="F954" s="68"/>
      <c r="J954" s="68"/>
    </row>
    <row r="955" ht="15.75" customHeight="1">
      <c r="B955" s="7"/>
      <c r="F955" s="68"/>
      <c r="J955" s="68"/>
    </row>
    <row r="956" ht="15.75" customHeight="1">
      <c r="B956" s="7"/>
      <c r="F956" s="68"/>
      <c r="J956" s="68"/>
    </row>
    <row r="957" ht="15.75" customHeight="1">
      <c r="B957" s="7"/>
      <c r="F957" s="68"/>
      <c r="J957" s="68"/>
    </row>
    <row r="958" ht="15.75" customHeight="1">
      <c r="B958" s="7"/>
      <c r="F958" s="68"/>
      <c r="J958" s="68"/>
    </row>
    <row r="959" ht="15.75" customHeight="1">
      <c r="B959" s="7"/>
      <c r="F959" s="68"/>
      <c r="J959" s="68"/>
    </row>
    <row r="960" ht="15.75" customHeight="1">
      <c r="B960" s="7"/>
      <c r="F960" s="68"/>
      <c r="J960" s="68"/>
    </row>
    <row r="961" ht="15.75" customHeight="1">
      <c r="B961" s="7"/>
      <c r="F961" s="68"/>
      <c r="J961" s="68"/>
    </row>
    <row r="962" ht="15.75" customHeight="1">
      <c r="B962" s="7"/>
      <c r="F962" s="68"/>
      <c r="J962" s="68"/>
    </row>
    <row r="963" ht="15.75" customHeight="1">
      <c r="B963" s="7"/>
      <c r="F963" s="68"/>
      <c r="J963" s="68"/>
    </row>
    <row r="964" ht="15.75" customHeight="1">
      <c r="B964" s="7"/>
      <c r="F964" s="68"/>
      <c r="J964" s="68"/>
    </row>
    <row r="965" ht="15.75" customHeight="1">
      <c r="B965" s="7"/>
      <c r="F965" s="68"/>
      <c r="J965" s="68"/>
    </row>
    <row r="966" ht="15.75" customHeight="1">
      <c r="B966" s="7"/>
      <c r="F966" s="68"/>
      <c r="J966" s="68"/>
    </row>
    <row r="967" ht="15.75" customHeight="1">
      <c r="B967" s="7"/>
      <c r="F967" s="68"/>
      <c r="J967" s="68"/>
    </row>
    <row r="968" ht="15.75" customHeight="1">
      <c r="B968" s="7"/>
      <c r="F968" s="68"/>
      <c r="J968" s="68"/>
    </row>
    <row r="969" ht="15.75" customHeight="1">
      <c r="B969" s="7"/>
      <c r="F969" s="68"/>
      <c r="J969" s="68"/>
    </row>
    <row r="970" ht="15.75" customHeight="1">
      <c r="B970" s="7"/>
      <c r="F970" s="68"/>
      <c r="J970" s="68"/>
    </row>
    <row r="971" ht="15.75" customHeight="1">
      <c r="B971" s="7"/>
      <c r="F971" s="68"/>
      <c r="J971" s="68"/>
    </row>
    <row r="972" ht="15.75" customHeight="1">
      <c r="B972" s="7"/>
      <c r="F972" s="68"/>
      <c r="J972" s="68"/>
    </row>
    <row r="973" ht="15.75" customHeight="1">
      <c r="B973" s="7"/>
      <c r="F973" s="68"/>
      <c r="J973" s="68"/>
    </row>
    <row r="974" ht="15.75" customHeight="1">
      <c r="B974" s="7"/>
      <c r="F974" s="68"/>
      <c r="J974" s="68"/>
    </row>
    <row r="975" ht="15.75" customHeight="1">
      <c r="B975" s="7"/>
      <c r="F975" s="68"/>
      <c r="J975" s="68"/>
    </row>
    <row r="976" ht="15.75" customHeight="1">
      <c r="B976" s="7"/>
      <c r="F976" s="68"/>
      <c r="J976" s="68"/>
    </row>
    <row r="977" ht="15.75" customHeight="1">
      <c r="B977" s="7"/>
      <c r="F977" s="68"/>
      <c r="J977" s="68"/>
    </row>
    <row r="978" ht="15.75" customHeight="1">
      <c r="B978" s="7"/>
      <c r="F978" s="68"/>
      <c r="J978" s="68"/>
    </row>
    <row r="979" ht="15.75" customHeight="1">
      <c r="B979" s="7"/>
      <c r="F979" s="68"/>
      <c r="J979" s="68"/>
    </row>
    <row r="980" ht="15.75" customHeight="1">
      <c r="B980" s="7"/>
      <c r="F980" s="68"/>
      <c r="J980" s="68"/>
    </row>
    <row r="981" ht="15.75" customHeight="1">
      <c r="B981" s="7"/>
      <c r="F981" s="68"/>
      <c r="J981" s="68"/>
    </row>
    <row r="982" ht="15.75" customHeight="1">
      <c r="B982" s="7"/>
      <c r="F982" s="68"/>
      <c r="J982" s="68"/>
    </row>
    <row r="983" ht="15.75" customHeight="1">
      <c r="B983" s="7"/>
      <c r="F983" s="68"/>
      <c r="J983" s="68"/>
    </row>
    <row r="984" ht="15.75" customHeight="1">
      <c r="B984" s="7"/>
      <c r="F984" s="68"/>
      <c r="J984" s="68"/>
    </row>
    <row r="985" ht="15.75" customHeight="1">
      <c r="B985" s="7"/>
      <c r="F985" s="68"/>
      <c r="J985" s="68"/>
    </row>
    <row r="986" ht="15.75" customHeight="1">
      <c r="B986" s="7"/>
      <c r="F986" s="68"/>
      <c r="J986" s="68"/>
    </row>
    <row r="987" ht="15.75" customHeight="1">
      <c r="B987" s="7"/>
      <c r="F987" s="68"/>
      <c r="J987" s="68"/>
    </row>
    <row r="988" ht="15.75" customHeight="1">
      <c r="B988" s="7"/>
      <c r="F988" s="68"/>
      <c r="J988" s="68"/>
    </row>
    <row r="989" ht="15.75" customHeight="1">
      <c r="B989" s="7"/>
      <c r="F989" s="68"/>
      <c r="J989" s="68"/>
    </row>
    <row r="990" ht="15.75" customHeight="1">
      <c r="B990" s="7"/>
      <c r="F990" s="68"/>
      <c r="J990" s="68"/>
    </row>
    <row r="991" ht="15.75" customHeight="1">
      <c r="B991" s="7"/>
      <c r="F991" s="68"/>
      <c r="J991" s="68"/>
    </row>
    <row r="992" ht="15.75" customHeight="1">
      <c r="B992" s="7"/>
      <c r="F992" s="68"/>
      <c r="J992" s="68"/>
    </row>
    <row r="993" ht="15.75" customHeight="1">
      <c r="B993" s="7"/>
      <c r="F993" s="68"/>
      <c r="J993" s="68"/>
    </row>
    <row r="994" ht="15.75" customHeight="1">
      <c r="B994" s="7"/>
      <c r="F994" s="68"/>
      <c r="J994" s="68"/>
    </row>
    <row r="995" ht="15.75" customHeight="1">
      <c r="B995" s="7"/>
      <c r="F995" s="68"/>
      <c r="J995" s="68"/>
    </row>
    <row r="996" ht="15.75" customHeight="1">
      <c r="B996" s="7"/>
      <c r="F996" s="68"/>
      <c r="J996" s="68"/>
    </row>
    <row r="997" ht="15.75" customHeight="1">
      <c r="B997" s="7"/>
      <c r="F997" s="68"/>
      <c r="J997" s="68"/>
    </row>
    <row r="998" ht="15.75" customHeight="1">
      <c r="B998" s="7"/>
      <c r="F998" s="68"/>
      <c r="J998" s="68"/>
    </row>
    <row r="999" ht="15.75" customHeight="1">
      <c r="B999" s="7"/>
      <c r="F999" s="68"/>
      <c r="J999" s="68"/>
    </row>
    <row r="1000" ht="15.75" customHeight="1">
      <c r="B1000" s="7"/>
      <c r="F1000" s="68"/>
      <c r="J1000" s="6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69" t="s">
        <v>5</v>
      </c>
      <c r="G1" s="1" t="s">
        <v>6</v>
      </c>
      <c r="H1" s="4" t="s">
        <v>33</v>
      </c>
      <c r="I1" s="4" t="s">
        <v>34</v>
      </c>
      <c r="J1" s="67" t="s">
        <v>94</v>
      </c>
      <c r="K1" s="4" t="s">
        <v>95</v>
      </c>
      <c r="L1" s="4" t="s">
        <v>96</v>
      </c>
      <c r="M1" s="4" t="s">
        <v>97</v>
      </c>
      <c r="N1" s="4" t="s">
        <v>98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70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  <c r="J2" s="68">
        <f t="shared" ref="J2:J201" si="3">D2*0.85</f>
        <v>739.5</v>
      </c>
      <c r="K2" s="6">
        <f t="shared" ref="K2:K201" si="4">E2*0.9</f>
        <v>4886.586</v>
      </c>
      <c r="L2" s="6">
        <f t="shared" ref="L2:L201" si="5">H2*1.05</f>
        <v>3420.6102</v>
      </c>
      <c r="M2" s="6">
        <f t="shared" ref="M2:M201" si="6">J2*K2</f>
        <v>3613630.347</v>
      </c>
      <c r="N2" s="6">
        <f t="shared" ref="N2:N201" si="7">(K2-L2)*J2</f>
        <v>1084089.104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70">
        <v>2054033.0</v>
      </c>
      <c r="G3" s="2">
        <v>224.0</v>
      </c>
      <c r="H3" s="6">
        <f t="shared" si="1"/>
        <v>4294.146</v>
      </c>
      <c r="I3" s="6">
        <f t="shared" si="2"/>
        <v>821613.268</v>
      </c>
      <c r="J3" s="68">
        <f t="shared" si="3"/>
        <v>243.95</v>
      </c>
      <c r="K3" s="6">
        <f t="shared" si="4"/>
        <v>6441.219</v>
      </c>
      <c r="L3" s="6">
        <f t="shared" si="5"/>
        <v>4508.8533</v>
      </c>
      <c r="M3" s="6">
        <f t="shared" si="6"/>
        <v>1571335.375</v>
      </c>
      <c r="N3" s="6">
        <f t="shared" si="7"/>
        <v>471400.6125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70">
        <v>2346658.0</v>
      </c>
      <c r="G4" s="2">
        <v>326.0</v>
      </c>
      <c r="H4" s="6">
        <f t="shared" si="1"/>
        <v>4034.37</v>
      </c>
      <c r="I4" s="6">
        <f t="shared" si="2"/>
        <v>938663.42</v>
      </c>
      <c r="J4" s="68">
        <f t="shared" si="3"/>
        <v>296.65</v>
      </c>
      <c r="K4" s="6">
        <f t="shared" si="4"/>
        <v>6051.555</v>
      </c>
      <c r="L4" s="6">
        <f t="shared" si="5"/>
        <v>4236.0885</v>
      </c>
      <c r="M4" s="6">
        <f t="shared" si="6"/>
        <v>1795193.791</v>
      </c>
      <c r="N4" s="6">
        <f t="shared" si="7"/>
        <v>538558.1372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70">
        <v>4003753.0</v>
      </c>
      <c r="G5" s="2">
        <v>589.0</v>
      </c>
      <c r="H5" s="6">
        <f t="shared" si="1"/>
        <v>3160.86</v>
      </c>
      <c r="I5" s="6">
        <f t="shared" si="2"/>
        <v>1601502.4</v>
      </c>
      <c r="J5" s="68">
        <f t="shared" si="3"/>
        <v>646</v>
      </c>
      <c r="K5" s="6">
        <f t="shared" si="4"/>
        <v>4741.29</v>
      </c>
      <c r="L5" s="6">
        <f t="shared" si="5"/>
        <v>3318.903</v>
      </c>
      <c r="M5" s="6">
        <f t="shared" si="6"/>
        <v>3062873.34</v>
      </c>
      <c r="N5" s="6">
        <f t="shared" si="7"/>
        <v>918862.002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70">
        <v>5582127.0</v>
      </c>
      <c r="G6" s="2">
        <v>825.0</v>
      </c>
      <c r="H6" s="6">
        <f t="shared" si="1"/>
        <v>2887.308</v>
      </c>
      <c r="I6" s="6">
        <f t="shared" si="2"/>
        <v>2232851.52</v>
      </c>
      <c r="J6" s="68">
        <f t="shared" si="3"/>
        <v>986</v>
      </c>
      <c r="K6" s="6">
        <f t="shared" si="4"/>
        <v>4330.962</v>
      </c>
      <c r="L6" s="6">
        <f t="shared" si="5"/>
        <v>3031.6734</v>
      </c>
      <c r="M6" s="6">
        <f t="shared" si="6"/>
        <v>4270328.532</v>
      </c>
      <c r="N6" s="6">
        <f t="shared" si="7"/>
        <v>1281098.56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70">
        <v>3048297.0</v>
      </c>
      <c r="G7" s="2">
        <v>375.0</v>
      </c>
      <c r="H7" s="6">
        <f t="shared" si="1"/>
        <v>4128.618</v>
      </c>
      <c r="I7" s="6">
        <f t="shared" si="2"/>
        <v>1219318.516</v>
      </c>
      <c r="J7" s="68">
        <f t="shared" si="3"/>
        <v>376.55</v>
      </c>
      <c r="K7" s="6">
        <f t="shared" si="4"/>
        <v>6192.927</v>
      </c>
      <c r="L7" s="6">
        <f t="shared" si="5"/>
        <v>4335.0489</v>
      </c>
      <c r="M7" s="6">
        <f t="shared" si="6"/>
        <v>2331946.662</v>
      </c>
      <c r="N7" s="6">
        <f t="shared" si="7"/>
        <v>699583.9986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70">
        <v>2177655.0</v>
      </c>
      <c r="G8" s="2">
        <v>241.0</v>
      </c>
      <c r="H8" s="6">
        <f t="shared" si="1"/>
        <v>3911.952</v>
      </c>
      <c r="I8" s="6">
        <f t="shared" si="2"/>
        <v>871061.312</v>
      </c>
      <c r="J8" s="68">
        <f t="shared" si="3"/>
        <v>283.9</v>
      </c>
      <c r="K8" s="6">
        <f t="shared" si="4"/>
        <v>5867.928</v>
      </c>
      <c r="L8" s="6">
        <f t="shared" si="5"/>
        <v>4107.5496</v>
      </c>
      <c r="M8" s="6">
        <f t="shared" si="6"/>
        <v>1665904.759</v>
      </c>
      <c r="N8" s="6">
        <f t="shared" si="7"/>
        <v>499771.4278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70">
        <v>3233699.0</v>
      </c>
      <c r="G9" s="2">
        <v>328.0</v>
      </c>
      <c r="H9" s="6">
        <f t="shared" si="1"/>
        <v>4190.538</v>
      </c>
      <c r="I9" s="6">
        <f t="shared" si="2"/>
        <v>1293479.396</v>
      </c>
      <c r="J9" s="68">
        <f t="shared" si="3"/>
        <v>393.55</v>
      </c>
      <c r="K9" s="6">
        <f t="shared" si="4"/>
        <v>6285.807</v>
      </c>
      <c r="L9" s="6">
        <f t="shared" si="5"/>
        <v>4400.0649</v>
      </c>
      <c r="M9" s="6">
        <f t="shared" si="6"/>
        <v>2473779.345</v>
      </c>
      <c r="N9" s="6">
        <f t="shared" si="7"/>
        <v>742133.8035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70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  <c r="J10" s="68">
        <f t="shared" si="3"/>
        <v>172.55</v>
      </c>
      <c r="K10" s="6">
        <f t="shared" si="4"/>
        <v>19028.349</v>
      </c>
      <c r="L10" s="6">
        <f t="shared" si="5"/>
        <v>13319.8443</v>
      </c>
      <c r="M10" s="6">
        <f t="shared" si="6"/>
        <v>3283341.62</v>
      </c>
      <c r="N10" s="6">
        <f t="shared" si="7"/>
        <v>985002.486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70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  <c r="J11" s="68">
        <f t="shared" si="3"/>
        <v>850.85</v>
      </c>
      <c r="K11" s="6">
        <f t="shared" si="4"/>
        <v>5044.365</v>
      </c>
      <c r="L11" s="6">
        <f t="shared" si="5"/>
        <v>3531.0555</v>
      </c>
      <c r="M11" s="6">
        <f t="shared" si="6"/>
        <v>4291997.96</v>
      </c>
      <c r="N11" s="6">
        <f t="shared" si="7"/>
        <v>1287599.388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70">
        <v>2347490.0</v>
      </c>
      <c r="G12" s="2">
        <v>95.0</v>
      </c>
      <c r="H12" s="6">
        <f t="shared" si="1"/>
        <v>12464.55</v>
      </c>
      <c r="I12" s="6">
        <f t="shared" si="2"/>
        <v>938996.1</v>
      </c>
      <c r="J12" s="68">
        <f t="shared" si="3"/>
        <v>96.05</v>
      </c>
      <c r="K12" s="6">
        <f t="shared" si="4"/>
        <v>18696.825</v>
      </c>
      <c r="L12" s="6">
        <f t="shared" si="5"/>
        <v>13087.7775</v>
      </c>
      <c r="M12" s="6">
        <f t="shared" si="6"/>
        <v>1795830.041</v>
      </c>
      <c r="N12" s="6">
        <f t="shared" si="7"/>
        <v>538749.0124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70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  <c r="J13" s="68">
        <f t="shared" si="3"/>
        <v>796.45</v>
      </c>
      <c r="K13" s="6">
        <f t="shared" si="4"/>
        <v>4983.957</v>
      </c>
      <c r="L13" s="6">
        <f t="shared" si="5"/>
        <v>3488.7699</v>
      </c>
      <c r="M13" s="6">
        <f t="shared" si="6"/>
        <v>3969472.553</v>
      </c>
      <c r="N13" s="6">
        <f t="shared" si="7"/>
        <v>1190841.766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70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  <c r="J14" s="68">
        <f t="shared" si="3"/>
        <v>668.95</v>
      </c>
      <c r="K14" s="6">
        <f t="shared" si="4"/>
        <v>4566.501</v>
      </c>
      <c r="L14" s="6">
        <f t="shared" si="5"/>
        <v>3196.5507</v>
      </c>
      <c r="M14" s="6">
        <f t="shared" si="6"/>
        <v>3054760.844</v>
      </c>
      <c r="N14" s="6">
        <f t="shared" si="7"/>
        <v>916428.2532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70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  <c r="J15" s="68">
        <f t="shared" si="3"/>
        <v>176.8</v>
      </c>
      <c r="K15" s="6">
        <f t="shared" si="4"/>
        <v>6066.297</v>
      </c>
      <c r="L15" s="6">
        <f t="shared" si="5"/>
        <v>4246.4079</v>
      </c>
      <c r="M15" s="6">
        <f t="shared" si="6"/>
        <v>1072521.31</v>
      </c>
      <c r="N15" s="6">
        <f t="shared" si="7"/>
        <v>321756.3929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70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  <c r="J16" s="68">
        <f t="shared" si="3"/>
        <v>287.3</v>
      </c>
      <c r="K16" s="6">
        <f t="shared" si="4"/>
        <v>6201.801</v>
      </c>
      <c r="L16" s="6">
        <f t="shared" si="5"/>
        <v>4341.2607</v>
      </c>
      <c r="M16" s="6">
        <f t="shared" si="6"/>
        <v>1781777.427</v>
      </c>
      <c r="N16" s="6">
        <f t="shared" si="7"/>
        <v>534533.2282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70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  <c r="J17" s="68">
        <f t="shared" si="3"/>
        <v>204</v>
      </c>
      <c r="K17" s="6">
        <f t="shared" si="4"/>
        <v>5785.182</v>
      </c>
      <c r="L17" s="6">
        <f t="shared" si="5"/>
        <v>4049.6274</v>
      </c>
      <c r="M17" s="6">
        <f t="shared" si="6"/>
        <v>1180177.128</v>
      </c>
      <c r="N17" s="6">
        <f t="shared" si="7"/>
        <v>354053.1384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70">
        <v>510722.0</v>
      </c>
      <c r="G18" s="2">
        <v>337.0</v>
      </c>
      <c r="H18" s="6">
        <f t="shared" si="1"/>
        <v>709.338</v>
      </c>
      <c r="I18" s="6">
        <f t="shared" si="2"/>
        <v>204289.344</v>
      </c>
      <c r="J18" s="68">
        <f t="shared" si="3"/>
        <v>367.2</v>
      </c>
      <c r="K18" s="6">
        <f t="shared" si="4"/>
        <v>1064.007</v>
      </c>
      <c r="L18" s="6">
        <f t="shared" si="5"/>
        <v>744.8049</v>
      </c>
      <c r="M18" s="6">
        <f t="shared" si="6"/>
        <v>390703.3704</v>
      </c>
      <c r="N18" s="6">
        <f t="shared" si="7"/>
        <v>117211.0111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70">
        <v>1303832.0</v>
      </c>
      <c r="G19" s="2">
        <v>1037.0</v>
      </c>
      <c r="H19" s="6">
        <f t="shared" si="1"/>
        <v>695.376</v>
      </c>
      <c r="I19" s="6">
        <f t="shared" si="2"/>
        <v>521532</v>
      </c>
      <c r="J19" s="68">
        <f t="shared" si="3"/>
        <v>956.25</v>
      </c>
      <c r="K19" s="6">
        <f t="shared" si="4"/>
        <v>1043.064</v>
      </c>
      <c r="L19" s="6">
        <f t="shared" si="5"/>
        <v>730.1448</v>
      </c>
      <c r="M19" s="6">
        <f t="shared" si="6"/>
        <v>997429.95</v>
      </c>
      <c r="N19" s="6">
        <f t="shared" si="7"/>
        <v>299228.985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70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  <c r="J20" s="68">
        <f t="shared" si="3"/>
        <v>901.85</v>
      </c>
      <c r="K20" s="6">
        <f t="shared" si="4"/>
        <v>4854.204</v>
      </c>
      <c r="L20" s="6">
        <f t="shared" si="5"/>
        <v>3397.9428</v>
      </c>
      <c r="M20" s="6">
        <f t="shared" si="6"/>
        <v>4377763.877</v>
      </c>
      <c r="N20" s="6">
        <f t="shared" si="7"/>
        <v>1313329.163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70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  <c r="J21" s="68">
        <f t="shared" si="3"/>
        <v>685.1</v>
      </c>
      <c r="K21" s="6">
        <f t="shared" si="4"/>
        <v>4902.498</v>
      </c>
      <c r="L21" s="6">
        <f t="shared" si="5"/>
        <v>3431.7486</v>
      </c>
      <c r="M21" s="6">
        <f t="shared" si="6"/>
        <v>3358701.38</v>
      </c>
      <c r="N21" s="6">
        <f t="shared" si="7"/>
        <v>1007610.414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70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  <c r="J22" s="68">
        <f t="shared" si="3"/>
        <v>997.9</v>
      </c>
      <c r="K22" s="6">
        <f t="shared" si="4"/>
        <v>4759.236</v>
      </c>
      <c r="L22" s="6">
        <f t="shared" si="5"/>
        <v>3331.4652</v>
      </c>
      <c r="M22" s="6">
        <f t="shared" si="6"/>
        <v>4749241.604</v>
      </c>
      <c r="N22" s="6">
        <f t="shared" si="7"/>
        <v>1424772.481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70">
        <v>3004991.0</v>
      </c>
      <c r="G23" s="2">
        <v>345.0</v>
      </c>
      <c r="H23" s="6">
        <f t="shared" si="1"/>
        <v>4193.01</v>
      </c>
      <c r="I23" s="6">
        <f t="shared" si="2"/>
        <v>1201996.2</v>
      </c>
      <c r="J23" s="68">
        <f t="shared" si="3"/>
        <v>365.5</v>
      </c>
      <c r="K23" s="6">
        <f t="shared" si="4"/>
        <v>6289.515</v>
      </c>
      <c r="L23" s="6">
        <f t="shared" si="5"/>
        <v>4402.6605</v>
      </c>
      <c r="M23" s="6">
        <f t="shared" si="6"/>
        <v>2298817.733</v>
      </c>
      <c r="N23" s="6">
        <f t="shared" si="7"/>
        <v>689645.3198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70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  <c r="J24" s="68">
        <f t="shared" si="3"/>
        <v>375.7</v>
      </c>
      <c r="K24" s="6">
        <f t="shared" si="4"/>
        <v>6165.387</v>
      </c>
      <c r="L24" s="6">
        <f t="shared" si="5"/>
        <v>4315.7709</v>
      </c>
      <c r="M24" s="6">
        <f t="shared" si="6"/>
        <v>2316335.896</v>
      </c>
      <c r="N24" s="6">
        <f t="shared" si="7"/>
        <v>694900.7688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70">
        <v>1190816.0</v>
      </c>
      <c r="G25" s="2">
        <v>661.0</v>
      </c>
      <c r="H25" s="6">
        <f t="shared" si="1"/>
        <v>789.492</v>
      </c>
      <c r="I25" s="6">
        <f t="shared" si="2"/>
        <v>476326.84</v>
      </c>
      <c r="J25" s="68">
        <f t="shared" si="3"/>
        <v>769.25</v>
      </c>
      <c r="K25" s="6">
        <f t="shared" si="4"/>
        <v>1184.238</v>
      </c>
      <c r="L25" s="6">
        <f t="shared" si="5"/>
        <v>828.9666</v>
      </c>
      <c r="M25" s="6">
        <f t="shared" si="6"/>
        <v>910975.0815</v>
      </c>
      <c r="N25" s="6">
        <f t="shared" si="7"/>
        <v>273292.5245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70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  <c r="J26" s="68">
        <f t="shared" si="3"/>
        <v>193.8</v>
      </c>
      <c r="K26" s="6">
        <f t="shared" si="4"/>
        <v>19067.679</v>
      </c>
      <c r="L26" s="6">
        <f t="shared" si="5"/>
        <v>13347.3753</v>
      </c>
      <c r="M26" s="6">
        <f t="shared" si="6"/>
        <v>3695316.19</v>
      </c>
      <c r="N26" s="6">
        <f t="shared" si="7"/>
        <v>1108594.857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70">
        <v>2485595.0</v>
      </c>
      <c r="G27" s="2">
        <v>328.0</v>
      </c>
      <c r="H27" s="6">
        <f t="shared" si="1"/>
        <v>3756.57</v>
      </c>
      <c r="I27" s="6">
        <f t="shared" si="2"/>
        <v>994238.86</v>
      </c>
      <c r="J27" s="68">
        <f t="shared" si="3"/>
        <v>337.45</v>
      </c>
      <c r="K27" s="6">
        <f t="shared" si="4"/>
        <v>5634.855</v>
      </c>
      <c r="L27" s="6">
        <f t="shared" si="5"/>
        <v>3944.3985</v>
      </c>
      <c r="M27" s="6">
        <f t="shared" si="6"/>
        <v>1901481.82</v>
      </c>
      <c r="N27" s="6">
        <f t="shared" si="7"/>
        <v>570444.5459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70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  <c r="J28" s="68">
        <f t="shared" si="3"/>
        <v>708.05</v>
      </c>
      <c r="K28" s="6">
        <f t="shared" si="4"/>
        <v>4851.531</v>
      </c>
      <c r="L28" s="6">
        <f t="shared" si="5"/>
        <v>3396.0717</v>
      </c>
      <c r="M28" s="6">
        <f t="shared" si="6"/>
        <v>3435126.525</v>
      </c>
      <c r="N28" s="6">
        <f t="shared" si="7"/>
        <v>1030537.957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70">
        <v>605898.0</v>
      </c>
      <c r="G29" s="2">
        <v>366.0</v>
      </c>
      <c r="H29" s="6">
        <f t="shared" si="1"/>
        <v>710.034</v>
      </c>
      <c r="I29" s="6">
        <f t="shared" si="2"/>
        <v>242358.272</v>
      </c>
      <c r="J29" s="68">
        <f t="shared" si="3"/>
        <v>435.2</v>
      </c>
      <c r="K29" s="6">
        <f t="shared" si="4"/>
        <v>1065.051</v>
      </c>
      <c r="L29" s="6">
        <f t="shared" si="5"/>
        <v>745.5357</v>
      </c>
      <c r="M29" s="6">
        <f t="shared" si="6"/>
        <v>463510.1952</v>
      </c>
      <c r="N29" s="6">
        <f t="shared" si="7"/>
        <v>139053.0586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70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  <c r="J30" s="68">
        <f t="shared" si="3"/>
        <v>772.65</v>
      </c>
      <c r="K30" s="6">
        <f t="shared" si="4"/>
        <v>1177.803</v>
      </c>
      <c r="L30" s="6">
        <f t="shared" si="5"/>
        <v>824.4621</v>
      </c>
      <c r="M30" s="6">
        <f t="shared" si="6"/>
        <v>910029.488</v>
      </c>
      <c r="N30" s="6">
        <f t="shared" si="7"/>
        <v>273008.8464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70">
        <v>2184467.0</v>
      </c>
      <c r="G31" s="2">
        <v>294.0</v>
      </c>
      <c r="H31" s="6">
        <f t="shared" si="1"/>
        <v>4200.9</v>
      </c>
      <c r="I31" s="6">
        <f t="shared" si="2"/>
        <v>873787.2</v>
      </c>
      <c r="J31" s="68">
        <f t="shared" si="3"/>
        <v>265.2</v>
      </c>
      <c r="K31" s="6">
        <f t="shared" si="4"/>
        <v>6301.35</v>
      </c>
      <c r="L31" s="6">
        <f t="shared" si="5"/>
        <v>4410.945</v>
      </c>
      <c r="M31" s="6">
        <f t="shared" si="6"/>
        <v>1671118.02</v>
      </c>
      <c r="N31" s="6">
        <f t="shared" si="7"/>
        <v>501335.406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70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  <c r="J32" s="68">
        <f t="shared" si="3"/>
        <v>700.4</v>
      </c>
      <c r="K32" s="6">
        <f t="shared" si="4"/>
        <v>5028.03</v>
      </c>
      <c r="L32" s="6">
        <f t="shared" si="5"/>
        <v>3519.621</v>
      </c>
      <c r="M32" s="6">
        <f t="shared" si="6"/>
        <v>3521632.212</v>
      </c>
      <c r="N32" s="6">
        <f t="shared" si="7"/>
        <v>1056489.664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70">
        <v>844050.0</v>
      </c>
      <c r="G33" s="2">
        <v>560.0</v>
      </c>
      <c r="H33" s="6">
        <f t="shared" si="1"/>
        <v>783.948</v>
      </c>
      <c r="I33" s="6">
        <f t="shared" si="2"/>
        <v>337620.272</v>
      </c>
      <c r="J33" s="68">
        <f t="shared" si="3"/>
        <v>549.1</v>
      </c>
      <c r="K33" s="6">
        <f t="shared" si="4"/>
        <v>1175.922</v>
      </c>
      <c r="L33" s="6">
        <f t="shared" si="5"/>
        <v>823.1454</v>
      </c>
      <c r="M33" s="6">
        <f t="shared" si="6"/>
        <v>645698.7702</v>
      </c>
      <c r="N33" s="6">
        <f t="shared" si="7"/>
        <v>193709.6311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70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  <c r="J34" s="68">
        <f t="shared" si="3"/>
        <v>759.05</v>
      </c>
      <c r="K34" s="6">
        <f t="shared" si="4"/>
        <v>5022.504</v>
      </c>
      <c r="L34" s="6">
        <f t="shared" si="5"/>
        <v>3515.7528</v>
      </c>
      <c r="M34" s="6">
        <f t="shared" si="6"/>
        <v>3812331.661</v>
      </c>
      <c r="N34" s="6">
        <f t="shared" si="7"/>
        <v>1143699.498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70">
        <v>621052.0</v>
      </c>
      <c r="G35" s="2">
        <v>437.0</v>
      </c>
      <c r="H35" s="6">
        <f t="shared" si="1"/>
        <v>635.886</v>
      </c>
      <c r="I35" s="6">
        <f t="shared" si="2"/>
        <v>248419.464</v>
      </c>
      <c r="J35" s="68">
        <f t="shared" si="3"/>
        <v>498.1</v>
      </c>
      <c r="K35" s="6">
        <f t="shared" si="4"/>
        <v>953.829</v>
      </c>
      <c r="L35" s="6">
        <f t="shared" si="5"/>
        <v>667.6803</v>
      </c>
      <c r="M35" s="6">
        <f t="shared" si="6"/>
        <v>475102.2249</v>
      </c>
      <c r="N35" s="6">
        <f t="shared" si="7"/>
        <v>142530.6675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70">
        <v>1033578.0</v>
      </c>
      <c r="G36" s="2">
        <v>631.0</v>
      </c>
      <c r="H36" s="6">
        <f t="shared" si="1"/>
        <v>773.25</v>
      </c>
      <c r="I36" s="6">
        <f t="shared" si="2"/>
        <v>413431</v>
      </c>
      <c r="J36" s="68">
        <f t="shared" si="3"/>
        <v>681.7</v>
      </c>
      <c r="K36" s="6">
        <f t="shared" si="4"/>
        <v>1159.875</v>
      </c>
      <c r="L36" s="6">
        <f t="shared" si="5"/>
        <v>811.9125</v>
      </c>
      <c r="M36" s="6">
        <f t="shared" si="6"/>
        <v>790686.7875</v>
      </c>
      <c r="N36" s="6">
        <f t="shared" si="7"/>
        <v>237206.0363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70">
        <v>6234261.0</v>
      </c>
      <c r="G37" s="2">
        <v>1074.0</v>
      </c>
      <c r="H37" s="6">
        <f t="shared" si="1"/>
        <v>3252.66</v>
      </c>
      <c r="I37" s="6">
        <f t="shared" si="2"/>
        <v>2493706</v>
      </c>
      <c r="J37" s="68">
        <f t="shared" si="3"/>
        <v>977.5</v>
      </c>
      <c r="K37" s="6">
        <f t="shared" si="4"/>
        <v>4878.99</v>
      </c>
      <c r="L37" s="6">
        <f t="shared" si="5"/>
        <v>3415.293</v>
      </c>
      <c r="M37" s="6">
        <f t="shared" si="6"/>
        <v>4769212.725</v>
      </c>
      <c r="N37" s="6">
        <f t="shared" si="7"/>
        <v>1430763.818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70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  <c r="J38" s="68">
        <f t="shared" si="3"/>
        <v>741.2</v>
      </c>
      <c r="K38" s="6">
        <f t="shared" si="4"/>
        <v>1098.513</v>
      </c>
      <c r="L38" s="6">
        <f t="shared" si="5"/>
        <v>768.9591</v>
      </c>
      <c r="M38" s="6">
        <f t="shared" si="6"/>
        <v>814217.8356</v>
      </c>
      <c r="N38" s="6">
        <f t="shared" si="7"/>
        <v>244265.3507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70">
        <v>786460.0</v>
      </c>
      <c r="G39" s="2">
        <v>704.0</v>
      </c>
      <c r="H39" s="6">
        <f t="shared" si="1"/>
        <v>633.39</v>
      </c>
      <c r="I39" s="6">
        <f t="shared" si="2"/>
        <v>314583.7</v>
      </c>
      <c r="J39" s="68">
        <f t="shared" si="3"/>
        <v>633.25</v>
      </c>
      <c r="K39" s="6">
        <f t="shared" si="4"/>
        <v>950.085</v>
      </c>
      <c r="L39" s="6">
        <f t="shared" si="5"/>
        <v>665.0595</v>
      </c>
      <c r="M39" s="6">
        <f t="shared" si="6"/>
        <v>601641.3263</v>
      </c>
      <c r="N39" s="6">
        <f t="shared" si="7"/>
        <v>180492.3979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70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  <c r="J40" s="68">
        <f t="shared" si="3"/>
        <v>510.85</v>
      </c>
      <c r="K40" s="6">
        <f t="shared" si="4"/>
        <v>4950.09</v>
      </c>
      <c r="L40" s="6">
        <f t="shared" si="5"/>
        <v>3465.063</v>
      </c>
      <c r="M40" s="6">
        <f t="shared" si="6"/>
        <v>2528753.477</v>
      </c>
      <c r="N40" s="6">
        <f t="shared" si="7"/>
        <v>758626.043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70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  <c r="J41" s="68">
        <f t="shared" si="3"/>
        <v>345.95</v>
      </c>
      <c r="K41" s="6">
        <f t="shared" si="4"/>
        <v>6071.157</v>
      </c>
      <c r="L41" s="6">
        <f t="shared" si="5"/>
        <v>4249.8099</v>
      </c>
      <c r="M41" s="6">
        <f t="shared" si="6"/>
        <v>2100316.764</v>
      </c>
      <c r="N41" s="6">
        <f t="shared" si="7"/>
        <v>630095.0292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70">
        <v>1213501.0</v>
      </c>
      <c r="G42" s="2">
        <v>793.0</v>
      </c>
      <c r="H42" s="6">
        <f t="shared" si="1"/>
        <v>679.2</v>
      </c>
      <c r="I42" s="6">
        <f t="shared" si="2"/>
        <v>485401.6</v>
      </c>
      <c r="J42" s="68">
        <f t="shared" si="3"/>
        <v>911.2</v>
      </c>
      <c r="K42" s="6">
        <f t="shared" si="4"/>
        <v>1018.8</v>
      </c>
      <c r="L42" s="6">
        <f t="shared" si="5"/>
        <v>713.16</v>
      </c>
      <c r="M42" s="6">
        <f t="shared" si="6"/>
        <v>928330.56</v>
      </c>
      <c r="N42" s="6">
        <f t="shared" si="7"/>
        <v>278499.168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70">
        <v>798766.0</v>
      </c>
      <c r="G43" s="2">
        <v>458.0</v>
      </c>
      <c r="H43" s="6">
        <f t="shared" si="1"/>
        <v>733.938</v>
      </c>
      <c r="I43" s="6">
        <f t="shared" si="2"/>
        <v>319507.676</v>
      </c>
      <c r="J43" s="68">
        <f t="shared" si="3"/>
        <v>555.05</v>
      </c>
      <c r="K43" s="6">
        <f t="shared" si="4"/>
        <v>1100.907</v>
      </c>
      <c r="L43" s="6">
        <f t="shared" si="5"/>
        <v>770.6349</v>
      </c>
      <c r="M43" s="6">
        <f t="shared" si="6"/>
        <v>611058.4304</v>
      </c>
      <c r="N43" s="6">
        <f t="shared" si="7"/>
        <v>183317.5291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70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  <c r="J44" s="68">
        <f t="shared" si="3"/>
        <v>796.45</v>
      </c>
      <c r="K44" s="6">
        <f t="shared" si="4"/>
        <v>4251.699</v>
      </c>
      <c r="L44" s="6">
        <f t="shared" si="5"/>
        <v>2976.1893</v>
      </c>
      <c r="M44" s="6">
        <f t="shared" si="6"/>
        <v>3386265.669</v>
      </c>
      <c r="N44" s="6">
        <f t="shared" si="7"/>
        <v>1015879.701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70">
        <v>892387.0</v>
      </c>
      <c r="G45" s="2">
        <v>622.0</v>
      </c>
      <c r="H45" s="6">
        <f t="shared" si="1"/>
        <v>671.808</v>
      </c>
      <c r="I45" s="6">
        <f t="shared" si="2"/>
        <v>356953.984</v>
      </c>
      <c r="J45" s="68">
        <f t="shared" si="3"/>
        <v>677.45</v>
      </c>
      <c r="K45" s="6">
        <f t="shared" si="4"/>
        <v>1007.712</v>
      </c>
      <c r="L45" s="6">
        <f t="shared" si="5"/>
        <v>705.3984</v>
      </c>
      <c r="M45" s="6">
        <f t="shared" si="6"/>
        <v>682674.4944</v>
      </c>
      <c r="N45" s="6">
        <f t="shared" si="7"/>
        <v>204802.3483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70">
        <v>982777.0</v>
      </c>
      <c r="G46" s="2">
        <v>666.0</v>
      </c>
      <c r="H46" s="6">
        <f t="shared" si="1"/>
        <v>745.47</v>
      </c>
      <c r="I46" s="6">
        <f t="shared" si="2"/>
        <v>393111.18</v>
      </c>
      <c r="J46" s="68">
        <f t="shared" si="3"/>
        <v>672.35</v>
      </c>
      <c r="K46" s="6">
        <f t="shared" si="4"/>
        <v>1118.205</v>
      </c>
      <c r="L46" s="6">
        <f t="shared" si="5"/>
        <v>782.7435</v>
      </c>
      <c r="M46" s="6">
        <f t="shared" si="6"/>
        <v>751825.1318</v>
      </c>
      <c r="N46" s="6">
        <f t="shared" si="7"/>
        <v>225547.5395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70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  <c r="J47" s="68">
        <f t="shared" si="3"/>
        <v>187.85</v>
      </c>
      <c r="K47" s="6">
        <f t="shared" si="4"/>
        <v>6283.944</v>
      </c>
      <c r="L47" s="6">
        <f t="shared" si="5"/>
        <v>4398.7608</v>
      </c>
      <c r="M47" s="6">
        <f t="shared" si="6"/>
        <v>1180438.88</v>
      </c>
      <c r="N47" s="6">
        <f t="shared" si="7"/>
        <v>354131.6641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70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  <c r="J48" s="68">
        <f t="shared" si="3"/>
        <v>987.7</v>
      </c>
      <c r="K48" s="6">
        <f t="shared" si="4"/>
        <v>4819.806</v>
      </c>
      <c r="L48" s="6">
        <f t="shared" si="5"/>
        <v>3373.8642</v>
      </c>
      <c r="M48" s="6">
        <f t="shared" si="6"/>
        <v>4760522.386</v>
      </c>
      <c r="N48" s="6">
        <f t="shared" si="7"/>
        <v>1428156.716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70">
        <v>2404062.0</v>
      </c>
      <c r="G49" s="2">
        <v>291.0</v>
      </c>
      <c r="H49" s="6">
        <f t="shared" si="1"/>
        <v>4168.89</v>
      </c>
      <c r="I49" s="6">
        <f t="shared" si="2"/>
        <v>961623.96</v>
      </c>
      <c r="J49" s="68">
        <f t="shared" si="3"/>
        <v>294.1</v>
      </c>
      <c r="K49" s="6">
        <f t="shared" si="4"/>
        <v>6253.335</v>
      </c>
      <c r="L49" s="6">
        <f t="shared" si="5"/>
        <v>4377.3345</v>
      </c>
      <c r="M49" s="6">
        <f t="shared" si="6"/>
        <v>1839105.824</v>
      </c>
      <c r="N49" s="6">
        <f t="shared" si="7"/>
        <v>551731.7471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70">
        <v>632417.0</v>
      </c>
      <c r="G50" s="2">
        <v>570.0</v>
      </c>
      <c r="H50" s="6">
        <f t="shared" si="1"/>
        <v>613.002</v>
      </c>
      <c r="I50" s="6">
        <f t="shared" si="2"/>
        <v>252965.492</v>
      </c>
      <c r="J50" s="68">
        <f t="shared" si="3"/>
        <v>526.15</v>
      </c>
      <c r="K50" s="6">
        <f t="shared" si="4"/>
        <v>919.503</v>
      </c>
      <c r="L50" s="6">
        <f t="shared" si="5"/>
        <v>643.6521</v>
      </c>
      <c r="M50" s="6">
        <f t="shared" si="6"/>
        <v>483796.5035</v>
      </c>
      <c r="N50" s="6">
        <f t="shared" si="7"/>
        <v>145138.951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70">
        <v>879414.0</v>
      </c>
      <c r="G51" s="2">
        <v>603.0</v>
      </c>
      <c r="H51" s="6">
        <f t="shared" si="1"/>
        <v>705.414</v>
      </c>
      <c r="I51" s="6">
        <f t="shared" si="2"/>
        <v>351766.448</v>
      </c>
      <c r="J51" s="68">
        <f t="shared" si="3"/>
        <v>635.8</v>
      </c>
      <c r="K51" s="6">
        <f t="shared" si="4"/>
        <v>1058.121</v>
      </c>
      <c r="L51" s="6">
        <f t="shared" si="5"/>
        <v>740.6847</v>
      </c>
      <c r="M51" s="6">
        <f t="shared" si="6"/>
        <v>672753.3318</v>
      </c>
      <c r="N51" s="6">
        <f t="shared" si="7"/>
        <v>201825.9995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70">
        <v>574390.0</v>
      </c>
      <c r="G52" s="2">
        <v>470.0</v>
      </c>
      <c r="H52" s="6">
        <f t="shared" si="1"/>
        <v>669.192</v>
      </c>
      <c r="I52" s="6">
        <f t="shared" si="2"/>
        <v>229755.92</v>
      </c>
      <c r="J52" s="68">
        <f t="shared" si="3"/>
        <v>437.75</v>
      </c>
      <c r="K52" s="6">
        <f t="shared" si="4"/>
        <v>1003.788</v>
      </c>
      <c r="L52" s="6">
        <f t="shared" si="5"/>
        <v>702.6516</v>
      </c>
      <c r="M52" s="6">
        <f t="shared" si="6"/>
        <v>439408.197</v>
      </c>
      <c r="N52" s="6">
        <f t="shared" si="7"/>
        <v>131822.4591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70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  <c r="J53" s="68">
        <f t="shared" si="3"/>
        <v>990.25</v>
      </c>
      <c r="K53" s="6">
        <f t="shared" si="4"/>
        <v>4497.327</v>
      </c>
      <c r="L53" s="6">
        <f t="shared" si="5"/>
        <v>3148.1289</v>
      </c>
      <c r="M53" s="6">
        <f t="shared" si="6"/>
        <v>4453478.062</v>
      </c>
      <c r="N53" s="6">
        <f t="shared" si="7"/>
        <v>1336043.419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70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  <c r="J54" s="68">
        <f t="shared" si="3"/>
        <v>111.35</v>
      </c>
      <c r="K54" s="6">
        <f t="shared" si="4"/>
        <v>18523.638</v>
      </c>
      <c r="L54" s="6">
        <f t="shared" si="5"/>
        <v>12966.5466</v>
      </c>
      <c r="M54" s="6">
        <f t="shared" si="6"/>
        <v>2062607.091</v>
      </c>
      <c r="N54" s="6">
        <f t="shared" si="7"/>
        <v>618782.1274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70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  <c r="J55" s="68">
        <f t="shared" si="3"/>
        <v>98.6</v>
      </c>
      <c r="K55" s="6">
        <f t="shared" si="4"/>
        <v>20350.512</v>
      </c>
      <c r="L55" s="6">
        <f t="shared" si="5"/>
        <v>14245.3584</v>
      </c>
      <c r="M55" s="6">
        <f t="shared" si="6"/>
        <v>2006560.483</v>
      </c>
      <c r="N55" s="6">
        <f t="shared" si="7"/>
        <v>601968.145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70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  <c r="J56" s="68">
        <f t="shared" si="3"/>
        <v>117.3</v>
      </c>
      <c r="K56" s="6">
        <f t="shared" si="4"/>
        <v>20001.69</v>
      </c>
      <c r="L56" s="6">
        <f t="shared" si="5"/>
        <v>14001.183</v>
      </c>
      <c r="M56" s="6">
        <f t="shared" si="6"/>
        <v>2346198.237</v>
      </c>
      <c r="N56" s="6">
        <f t="shared" si="7"/>
        <v>703859.4711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70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  <c r="J57" s="68">
        <f t="shared" si="3"/>
        <v>939.25</v>
      </c>
      <c r="K57" s="6">
        <f t="shared" si="4"/>
        <v>4661.298</v>
      </c>
      <c r="L57" s="6">
        <f t="shared" si="5"/>
        <v>3262.9086</v>
      </c>
      <c r="M57" s="6">
        <f t="shared" si="6"/>
        <v>4378124.147</v>
      </c>
      <c r="N57" s="6">
        <f t="shared" si="7"/>
        <v>1313437.244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70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  <c r="J58" s="68">
        <f t="shared" si="3"/>
        <v>944.35</v>
      </c>
      <c r="K58" s="6">
        <f t="shared" si="4"/>
        <v>4669.929</v>
      </c>
      <c r="L58" s="6">
        <f t="shared" si="5"/>
        <v>3268.9503</v>
      </c>
      <c r="M58" s="6">
        <f t="shared" si="6"/>
        <v>4410047.451</v>
      </c>
      <c r="N58" s="6">
        <f t="shared" si="7"/>
        <v>1323014.235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70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  <c r="J59" s="68">
        <f t="shared" si="3"/>
        <v>957.1</v>
      </c>
      <c r="K59" s="6">
        <f t="shared" si="4"/>
        <v>1068.507</v>
      </c>
      <c r="L59" s="6">
        <f t="shared" si="5"/>
        <v>747.9549</v>
      </c>
      <c r="M59" s="6">
        <f t="shared" si="6"/>
        <v>1022668.05</v>
      </c>
      <c r="N59" s="6">
        <f t="shared" si="7"/>
        <v>306800.4149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70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  <c r="J60" s="68">
        <f t="shared" si="3"/>
        <v>137.7</v>
      </c>
      <c r="K60" s="6">
        <f t="shared" si="4"/>
        <v>19052.811</v>
      </c>
      <c r="L60" s="6">
        <f t="shared" si="5"/>
        <v>13336.9677</v>
      </c>
      <c r="M60" s="6">
        <f t="shared" si="6"/>
        <v>2623572.075</v>
      </c>
      <c r="N60" s="6">
        <f t="shared" si="7"/>
        <v>787071.6224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70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  <c r="J61" s="68">
        <f t="shared" si="3"/>
        <v>860.2</v>
      </c>
      <c r="K61" s="6">
        <f t="shared" si="4"/>
        <v>1133.604</v>
      </c>
      <c r="L61" s="6">
        <f t="shared" si="5"/>
        <v>793.5228</v>
      </c>
      <c r="M61" s="6">
        <f t="shared" si="6"/>
        <v>975126.1608</v>
      </c>
      <c r="N61" s="6">
        <f t="shared" si="7"/>
        <v>292537.8482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70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  <c r="J62" s="68">
        <f t="shared" si="3"/>
        <v>866.15</v>
      </c>
      <c r="K62" s="6">
        <f t="shared" si="4"/>
        <v>1014.264</v>
      </c>
      <c r="L62" s="6">
        <f t="shared" si="5"/>
        <v>709.9848</v>
      </c>
      <c r="M62" s="6">
        <f t="shared" si="6"/>
        <v>878504.7636</v>
      </c>
      <c r="N62" s="6">
        <f t="shared" si="7"/>
        <v>263551.4291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70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  <c r="J63" s="68">
        <f t="shared" si="3"/>
        <v>291.55</v>
      </c>
      <c r="K63" s="6">
        <f t="shared" si="4"/>
        <v>6088.446</v>
      </c>
      <c r="L63" s="6">
        <f t="shared" si="5"/>
        <v>4261.9122</v>
      </c>
      <c r="M63" s="6">
        <f t="shared" si="6"/>
        <v>1775086.431</v>
      </c>
      <c r="N63" s="6">
        <f t="shared" si="7"/>
        <v>532525.9294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70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  <c r="J64" s="68">
        <f t="shared" si="3"/>
        <v>611.15</v>
      </c>
      <c r="K64" s="6">
        <f t="shared" si="4"/>
        <v>4689.99</v>
      </c>
      <c r="L64" s="6">
        <f t="shared" si="5"/>
        <v>3282.993</v>
      </c>
      <c r="M64" s="6">
        <f t="shared" si="6"/>
        <v>2866287.389</v>
      </c>
      <c r="N64" s="6">
        <f t="shared" si="7"/>
        <v>859886.2166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70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  <c r="J65" s="68">
        <f t="shared" si="3"/>
        <v>617.1</v>
      </c>
      <c r="K65" s="6">
        <f t="shared" si="4"/>
        <v>4469.553</v>
      </c>
      <c r="L65" s="6">
        <f t="shared" si="5"/>
        <v>3128.6871</v>
      </c>
      <c r="M65" s="6">
        <f t="shared" si="6"/>
        <v>2758161.156</v>
      </c>
      <c r="N65" s="6">
        <f t="shared" si="7"/>
        <v>827448.3469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70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  <c r="J66" s="68">
        <f t="shared" si="3"/>
        <v>187.85</v>
      </c>
      <c r="K66" s="6">
        <f t="shared" si="4"/>
        <v>19008.036</v>
      </c>
      <c r="L66" s="6">
        <f t="shared" si="5"/>
        <v>13305.6252</v>
      </c>
      <c r="M66" s="6">
        <f t="shared" si="6"/>
        <v>3570659.563</v>
      </c>
      <c r="N66" s="6">
        <f t="shared" si="7"/>
        <v>1071197.869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70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  <c r="J67" s="68">
        <f t="shared" si="3"/>
        <v>740.35</v>
      </c>
      <c r="K67" s="6">
        <f t="shared" si="4"/>
        <v>4652.397</v>
      </c>
      <c r="L67" s="6">
        <f t="shared" si="5"/>
        <v>3256.6779</v>
      </c>
      <c r="M67" s="6">
        <f t="shared" si="6"/>
        <v>3444402.119</v>
      </c>
      <c r="N67" s="6">
        <f t="shared" si="7"/>
        <v>1033320.636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70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  <c r="J68" s="68">
        <f t="shared" si="3"/>
        <v>719.1</v>
      </c>
      <c r="K68" s="6">
        <f t="shared" si="4"/>
        <v>4785.579</v>
      </c>
      <c r="L68" s="6">
        <f t="shared" si="5"/>
        <v>3349.9053</v>
      </c>
      <c r="M68" s="6">
        <f t="shared" si="6"/>
        <v>3441309.859</v>
      </c>
      <c r="N68" s="6">
        <f t="shared" si="7"/>
        <v>1032392.958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70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  <c r="J69" s="68">
        <f t="shared" si="3"/>
        <v>696.15</v>
      </c>
      <c r="K69" s="6">
        <f t="shared" si="4"/>
        <v>4663.278</v>
      </c>
      <c r="L69" s="6">
        <f t="shared" si="5"/>
        <v>3264.2946</v>
      </c>
      <c r="M69" s="6">
        <f t="shared" si="6"/>
        <v>3246340.98</v>
      </c>
      <c r="N69" s="6">
        <f t="shared" si="7"/>
        <v>973902.2939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70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  <c r="J70" s="68">
        <f t="shared" si="3"/>
        <v>682.55</v>
      </c>
      <c r="K70" s="6">
        <f t="shared" si="4"/>
        <v>4671.135</v>
      </c>
      <c r="L70" s="6">
        <f t="shared" si="5"/>
        <v>3269.7945</v>
      </c>
      <c r="M70" s="6">
        <f t="shared" si="6"/>
        <v>3188283.194</v>
      </c>
      <c r="N70" s="6">
        <f t="shared" si="7"/>
        <v>956484.9583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70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  <c r="J71" s="68">
        <f t="shared" si="3"/>
        <v>92.65</v>
      </c>
      <c r="K71" s="6">
        <f t="shared" si="4"/>
        <v>20139.696</v>
      </c>
      <c r="L71" s="6">
        <f t="shared" si="5"/>
        <v>14097.7872</v>
      </c>
      <c r="M71" s="6">
        <f t="shared" si="6"/>
        <v>1865942.834</v>
      </c>
      <c r="N71" s="6">
        <f t="shared" si="7"/>
        <v>559782.8503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70">
        <v>944633.0</v>
      </c>
      <c r="G72" s="2">
        <v>541.0</v>
      </c>
      <c r="H72" s="6">
        <f t="shared" si="1"/>
        <v>911.22</v>
      </c>
      <c r="I72" s="6">
        <f t="shared" si="2"/>
        <v>377852.56</v>
      </c>
      <c r="J72" s="68">
        <f t="shared" si="3"/>
        <v>528.7</v>
      </c>
      <c r="K72" s="6">
        <f t="shared" si="4"/>
        <v>1366.83</v>
      </c>
      <c r="L72" s="6">
        <f t="shared" si="5"/>
        <v>956.781</v>
      </c>
      <c r="M72" s="6">
        <f t="shared" si="6"/>
        <v>722643.021</v>
      </c>
      <c r="N72" s="6">
        <f t="shared" si="7"/>
        <v>216792.9063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70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  <c r="J73" s="68">
        <f t="shared" si="3"/>
        <v>192.95</v>
      </c>
      <c r="K73" s="6">
        <f t="shared" si="4"/>
        <v>19410.597</v>
      </c>
      <c r="L73" s="6">
        <f t="shared" si="5"/>
        <v>13587.4179</v>
      </c>
      <c r="M73" s="6">
        <f t="shared" si="6"/>
        <v>3745274.691</v>
      </c>
      <c r="N73" s="6">
        <f t="shared" si="7"/>
        <v>1123582.407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70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  <c r="J74" s="68">
        <f t="shared" si="3"/>
        <v>925.65</v>
      </c>
      <c r="K74" s="6">
        <f t="shared" si="4"/>
        <v>986.904</v>
      </c>
      <c r="L74" s="6">
        <f t="shared" si="5"/>
        <v>690.8328</v>
      </c>
      <c r="M74" s="6">
        <f t="shared" si="6"/>
        <v>913527.6876</v>
      </c>
      <c r="N74" s="6">
        <f t="shared" si="7"/>
        <v>274058.3063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70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  <c r="J75" s="68">
        <f t="shared" si="3"/>
        <v>224.4</v>
      </c>
      <c r="K75" s="6">
        <f t="shared" si="4"/>
        <v>6085.152</v>
      </c>
      <c r="L75" s="6">
        <f t="shared" si="5"/>
        <v>4259.6064</v>
      </c>
      <c r="M75" s="6">
        <f t="shared" si="6"/>
        <v>1365508.109</v>
      </c>
      <c r="N75" s="6">
        <f t="shared" si="7"/>
        <v>409652.4326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70">
        <v>787528.0</v>
      </c>
      <c r="G76" s="2">
        <v>533.0</v>
      </c>
      <c r="H76" s="6">
        <f t="shared" si="1"/>
        <v>690.816</v>
      </c>
      <c r="I76" s="6">
        <f t="shared" si="2"/>
        <v>315012.096</v>
      </c>
      <c r="J76" s="68">
        <f t="shared" si="3"/>
        <v>581.4</v>
      </c>
      <c r="K76" s="6">
        <f t="shared" si="4"/>
        <v>1036.224</v>
      </c>
      <c r="L76" s="6">
        <f t="shared" si="5"/>
        <v>725.3568</v>
      </c>
      <c r="M76" s="6">
        <f t="shared" si="6"/>
        <v>602460.6336</v>
      </c>
      <c r="N76" s="6">
        <f t="shared" si="7"/>
        <v>180738.1901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70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  <c r="J77" s="68">
        <f t="shared" si="3"/>
        <v>181.9</v>
      </c>
      <c r="K77" s="6">
        <f t="shared" si="4"/>
        <v>19499.472</v>
      </c>
      <c r="L77" s="6">
        <f t="shared" si="5"/>
        <v>13649.6304</v>
      </c>
      <c r="M77" s="6">
        <f t="shared" si="6"/>
        <v>3546953.957</v>
      </c>
      <c r="N77" s="6">
        <f t="shared" si="7"/>
        <v>1064086.187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70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  <c r="J78" s="68">
        <f t="shared" si="3"/>
        <v>928.2</v>
      </c>
      <c r="K78" s="6">
        <f t="shared" si="4"/>
        <v>4850.757</v>
      </c>
      <c r="L78" s="6">
        <f t="shared" si="5"/>
        <v>3395.5299</v>
      </c>
      <c r="M78" s="6">
        <f t="shared" si="6"/>
        <v>4502472.647</v>
      </c>
      <c r="N78" s="6">
        <f t="shared" si="7"/>
        <v>1350741.794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70">
        <v>704547.0</v>
      </c>
      <c r="G79" s="2">
        <v>498.0</v>
      </c>
      <c r="H79" s="6">
        <f t="shared" si="1"/>
        <v>715.278</v>
      </c>
      <c r="I79" s="6">
        <f t="shared" si="2"/>
        <v>281819.532</v>
      </c>
      <c r="J79" s="68">
        <f t="shared" si="3"/>
        <v>502.35</v>
      </c>
      <c r="K79" s="6">
        <f t="shared" si="4"/>
        <v>1072.917</v>
      </c>
      <c r="L79" s="6">
        <f t="shared" si="5"/>
        <v>751.0419</v>
      </c>
      <c r="M79" s="6">
        <f t="shared" si="6"/>
        <v>538979.855</v>
      </c>
      <c r="N79" s="6">
        <f t="shared" si="7"/>
        <v>161693.9565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70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  <c r="J80" s="68">
        <f t="shared" si="3"/>
        <v>165.75</v>
      </c>
      <c r="K80" s="6">
        <f t="shared" si="4"/>
        <v>19743.912</v>
      </c>
      <c r="L80" s="6">
        <f t="shared" si="5"/>
        <v>13820.7384</v>
      </c>
      <c r="M80" s="6">
        <f t="shared" si="6"/>
        <v>3272553.414</v>
      </c>
      <c r="N80" s="6">
        <f t="shared" si="7"/>
        <v>981766.0242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70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  <c r="J81" s="68">
        <f t="shared" si="3"/>
        <v>746.3</v>
      </c>
      <c r="K81" s="6">
        <f t="shared" si="4"/>
        <v>4733.604</v>
      </c>
      <c r="L81" s="6">
        <f t="shared" si="5"/>
        <v>3313.5228</v>
      </c>
      <c r="M81" s="6">
        <f t="shared" si="6"/>
        <v>3532688.665</v>
      </c>
      <c r="N81" s="6">
        <f t="shared" si="7"/>
        <v>1059806.6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70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  <c r="J82" s="68">
        <f t="shared" si="3"/>
        <v>561.85</v>
      </c>
      <c r="K82" s="6">
        <f t="shared" si="4"/>
        <v>4327.812</v>
      </c>
      <c r="L82" s="6">
        <f t="shared" si="5"/>
        <v>3029.4684</v>
      </c>
      <c r="M82" s="6">
        <f t="shared" si="6"/>
        <v>2431581.172</v>
      </c>
      <c r="N82" s="6">
        <f t="shared" si="7"/>
        <v>729474.3517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70">
        <v>947916.0</v>
      </c>
      <c r="G83" s="2">
        <v>747.0</v>
      </c>
      <c r="H83" s="6">
        <f t="shared" si="1"/>
        <v>715.41</v>
      </c>
      <c r="I83" s="6">
        <f t="shared" si="2"/>
        <v>379167.3</v>
      </c>
      <c r="J83" s="68">
        <f t="shared" si="3"/>
        <v>675.75</v>
      </c>
      <c r="K83" s="6">
        <f t="shared" si="4"/>
        <v>1073.115</v>
      </c>
      <c r="L83" s="6">
        <f t="shared" si="5"/>
        <v>751.1805</v>
      </c>
      <c r="M83" s="6">
        <f t="shared" si="6"/>
        <v>725157.4613</v>
      </c>
      <c r="N83" s="6">
        <f t="shared" si="7"/>
        <v>217547.2384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70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  <c r="J84" s="68">
        <f t="shared" si="3"/>
        <v>895.9</v>
      </c>
      <c r="K84" s="6">
        <f t="shared" si="4"/>
        <v>4788.639</v>
      </c>
      <c r="L84" s="6">
        <f t="shared" si="5"/>
        <v>3352.0473</v>
      </c>
      <c r="M84" s="6">
        <f t="shared" si="6"/>
        <v>4290141.68</v>
      </c>
      <c r="N84" s="6">
        <f t="shared" si="7"/>
        <v>1287042.504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70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  <c r="J85" s="68">
        <f t="shared" si="3"/>
        <v>593.3</v>
      </c>
      <c r="K85" s="6">
        <f t="shared" si="4"/>
        <v>4818.177</v>
      </c>
      <c r="L85" s="6">
        <f t="shared" si="5"/>
        <v>3372.7239</v>
      </c>
      <c r="M85" s="6">
        <f t="shared" si="6"/>
        <v>2858624.414</v>
      </c>
      <c r="N85" s="6">
        <f t="shared" si="7"/>
        <v>857587.3242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70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  <c r="J86" s="68">
        <f t="shared" si="3"/>
        <v>920.55</v>
      </c>
      <c r="K86" s="6">
        <f t="shared" si="4"/>
        <v>5096.457</v>
      </c>
      <c r="L86" s="6">
        <f t="shared" si="5"/>
        <v>3567.5199</v>
      </c>
      <c r="M86" s="6">
        <f t="shared" si="6"/>
        <v>4691543.491</v>
      </c>
      <c r="N86" s="6">
        <f t="shared" si="7"/>
        <v>1407463.047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70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  <c r="J87" s="68">
        <f t="shared" si="3"/>
        <v>207.4</v>
      </c>
      <c r="K87" s="6">
        <f t="shared" si="4"/>
        <v>19641.303</v>
      </c>
      <c r="L87" s="6">
        <f t="shared" si="5"/>
        <v>13748.9121</v>
      </c>
      <c r="M87" s="6">
        <f t="shared" si="6"/>
        <v>4073606.242</v>
      </c>
      <c r="N87" s="6">
        <f t="shared" si="7"/>
        <v>1222081.873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70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  <c r="J88" s="68">
        <f t="shared" si="3"/>
        <v>200.6</v>
      </c>
      <c r="K88" s="6">
        <f t="shared" si="4"/>
        <v>19752.561</v>
      </c>
      <c r="L88" s="6">
        <f t="shared" si="5"/>
        <v>13826.7927</v>
      </c>
      <c r="M88" s="6">
        <f t="shared" si="6"/>
        <v>3962363.737</v>
      </c>
      <c r="N88" s="6">
        <f t="shared" si="7"/>
        <v>1188709.121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70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  <c r="J89" s="68">
        <f t="shared" si="3"/>
        <v>284.75</v>
      </c>
      <c r="K89" s="6">
        <f t="shared" si="4"/>
        <v>6265.584</v>
      </c>
      <c r="L89" s="6">
        <f t="shared" si="5"/>
        <v>4385.9088</v>
      </c>
      <c r="M89" s="6">
        <f t="shared" si="6"/>
        <v>1784125.044</v>
      </c>
      <c r="N89" s="6">
        <f t="shared" si="7"/>
        <v>535237.5132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70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  <c r="J90" s="68">
        <f t="shared" si="3"/>
        <v>897.6</v>
      </c>
      <c r="K90" s="6">
        <f t="shared" si="4"/>
        <v>1020.222</v>
      </c>
      <c r="L90" s="6">
        <f t="shared" si="5"/>
        <v>714.1554</v>
      </c>
      <c r="M90" s="6">
        <f t="shared" si="6"/>
        <v>915751.2672</v>
      </c>
      <c r="N90" s="6">
        <f t="shared" si="7"/>
        <v>274725.3802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70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  <c r="J91" s="68">
        <f t="shared" si="3"/>
        <v>340.85</v>
      </c>
      <c r="K91" s="6">
        <f t="shared" si="4"/>
        <v>6397.227</v>
      </c>
      <c r="L91" s="6">
        <f t="shared" si="5"/>
        <v>4478.0589</v>
      </c>
      <c r="M91" s="6">
        <f t="shared" si="6"/>
        <v>2180494.823</v>
      </c>
      <c r="N91" s="6">
        <f t="shared" si="7"/>
        <v>654148.4469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70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  <c r="J92" s="68">
        <f t="shared" si="3"/>
        <v>696.15</v>
      </c>
      <c r="K92" s="6">
        <f t="shared" si="4"/>
        <v>5056.227</v>
      </c>
      <c r="L92" s="6">
        <f t="shared" si="5"/>
        <v>3539.3589</v>
      </c>
      <c r="M92" s="6">
        <f t="shared" si="6"/>
        <v>3519892.426</v>
      </c>
      <c r="N92" s="6">
        <f t="shared" si="7"/>
        <v>1055967.728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70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  <c r="J93" s="68">
        <f t="shared" si="3"/>
        <v>838.1</v>
      </c>
      <c r="K93" s="6">
        <f t="shared" si="4"/>
        <v>4854.897</v>
      </c>
      <c r="L93" s="6">
        <f t="shared" si="5"/>
        <v>3398.4279</v>
      </c>
      <c r="M93" s="6">
        <f t="shared" si="6"/>
        <v>4068889.176</v>
      </c>
      <c r="N93" s="6">
        <f t="shared" si="7"/>
        <v>1220666.753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70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  <c r="J94" s="68">
        <f t="shared" si="3"/>
        <v>856.8</v>
      </c>
      <c r="K94" s="6">
        <f t="shared" si="4"/>
        <v>4708.224</v>
      </c>
      <c r="L94" s="6">
        <f t="shared" si="5"/>
        <v>3295.7568</v>
      </c>
      <c r="M94" s="6">
        <f t="shared" si="6"/>
        <v>4034006.323</v>
      </c>
      <c r="N94" s="6">
        <f t="shared" si="7"/>
        <v>1210201.897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70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  <c r="J95" s="68">
        <f t="shared" si="3"/>
        <v>681.7</v>
      </c>
      <c r="K95" s="6">
        <f t="shared" si="4"/>
        <v>4852.386</v>
      </c>
      <c r="L95" s="6">
        <f t="shared" si="5"/>
        <v>3396.6702</v>
      </c>
      <c r="M95" s="6">
        <f t="shared" si="6"/>
        <v>3307871.536</v>
      </c>
      <c r="N95" s="6">
        <f t="shared" si="7"/>
        <v>992361.4609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70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  <c r="J96" s="68">
        <f t="shared" si="3"/>
        <v>186.15</v>
      </c>
      <c r="K96" s="6">
        <f t="shared" si="4"/>
        <v>5840.514</v>
      </c>
      <c r="L96" s="6">
        <f t="shared" si="5"/>
        <v>4088.3598</v>
      </c>
      <c r="M96" s="6">
        <f t="shared" si="6"/>
        <v>1087211.681</v>
      </c>
      <c r="N96" s="6">
        <f t="shared" si="7"/>
        <v>326163.5043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70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  <c r="J97" s="68">
        <f t="shared" si="3"/>
        <v>291.55</v>
      </c>
      <c r="K97" s="6">
        <f t="shared" si="4"/>
        <v>5768.883</v>
      </c>
      <c r="L97" s="6">
        <f t="shared" si="5"/>
        <v>4038.2181</v>
      </c>
      <c r="M97" s="6">
        <f t="shared" si="6"/>
        <v>1681917.839</v>
      </c>
      <c r="N97" s="6">
        <f t="shared" si="7"/>
        <v>504575.3516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70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  <c r="J98" s="68">
        <f t="shared" si="3"/>
        <v>183.6</v>
      </c>
      <c r="K98" s="6">
        <f t="shared" si="4"/>
        <v>18745.398</v>
      </c>
      <c r="L98" s="6">
        <f t="shared" si="5"/>
        <v>13121.7786</v>
      </c>
      <c r="M98" s="6">
        <f t="shared" si="6"/>
        <v>3441655.073</v>
      </c>
      <c r="N98" s="6">
        <f t="shared" si="7"/>
        <v>1032496.522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70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  <c r="J99" s="68">
        <f t="shared" si="3"/>
        <v>107.95</v>
      </c>
      <c r="K99" s="6">
        <f t="shared" si="4"/>
        <v>18918.441</v>
      </c>
      <c r="L99" s="6">
        <f t="shared" si="5"/>
        <v>13242.9087</v>
      </c>
      <c r="M99" s="6">
        <f t="shared" si="6"/>
        <v>2042245.706</v>
      </c>
      <c r="N99" s="6">
        <f t="shared" si="7"/>
        <v>612673.7118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70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  <c r="J100" s="68">
        <f t="shared" si="3"/>
        <v>765.85</v>
      </c>
      <c r="K100" s="6">
        <f t="shared" si="4"/>
        <v>1235.493</v>
      </c>
      <c r="L100" s="6">
        <f t="shared" si="5"/>
        <v>864.8451</v>
      </c>
      <c r="M100" s="6">
        <f t="shared" si="6"/>
        <v>946202.3141</v>
      </c>
      <c r="N100" s="6">
        <f t="shared" si="7"/>
        <v>283860.6942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70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  <c r="J101" s="68">
        <f t="shared" si="3"/>
        <v>181.9</v>
      </c>
      <c r="K101" s="6">
        <f t="shared" si="4"/>
        <v>18275.328</v>
      </c>
      <c r="L101" s="6">
        <f t="shared" si="5"/>
        <v>12792.7296</v>
      </c>
      <c r="M101" s="6">
        <f t="shared" si="6"/>
        <v>3324282.163</v>
      </c>
      <c r="N101" s="6">
        <f t="shared" si="7"/>
        <v>997284.649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70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  <c r="J102" s="68">
        <f t="shared" si="3"/>
        <v>131.75</v>
      </c>
      <c r="K102" s="6">
        <f t="shared" si="4"/>
        <v>19452.276</v>
      </c>
      <c r="L102" s="6">
        <f t="shared" si="5"/>
        <v>13616.5932</v>
      </c>
      <c r="M102" s="6">
        <f t="shared" si="6"/>
        <v>2562837.363</v>
      </c>
      <c r="N102" s="6">
        <f t="shared" si="7"/>
        <v>768851.2089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70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  <c r="J103" s="68">
        <f t="shared" si="3"/>
        <v>139.4</v>
      </c>
      <c r="K103" s="6">
        <f t="shared" si="4"/>
        <v>20096.757</v>
      </c>
      <c r="L103" s="6">
        <f t="shared" si="5"/>
        <v>14067.7299</v>
      </c>
      <c r="M103" s="6">
        <f t="shared" si="6"/>
        <v>2801487.926</v>
      </c>
      <c r="N103" s="6">
        <f t="shared" si="7"/>
        <v>840446.3777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70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  <c r="J104" s="68">
        <f t="shared" si="3"/>
        <v>748.85</v>
      </c>
      <c r="K104" s="6">
        <f t="shared" si="4"/>
        <v>4831.362</v>
      </c>
      <c r="L104" s="6">
        <f t="shared" si="5"/>
        <v>3381.9534</v>
      </c>
      <c r="M104" s="6">
        <f t="shared" si="6"/>
        <v>3617965.434</v>
      </c>
      <c r="N104" s="6">
        <f t="shared" si="7"/>
        <v>1085389.63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70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  <c r="J105" s="68">
        <f t="shared" si="3"/>
        <v>593.3</v>
      </c>
      <c r="K105" s="6">
        <f t="shared" si="4"/>
        <v>4754.448</v>
      </c>
      <c r="L105" s="6">
        <f t="shared" si="5"/>
        <v>3328.1136</v>
      </c>
      <c r="M105" s="6">
        <f t="shared" si="6"/>
        <v>2820813.998</v>
      </c>
      <c r="N105" s="6">
        <f t="shared" si="7"/>
        <v>846244.1995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70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  <c r="J106" s="68">
        <f t="shared" si="3"/>
        <v>164.9</v>
      </c>
      <c r="K106" s="6">
        <f t="shared" si="4"/>
        <v>19580.067</v>
      </c>
      <c r="L106" s="6">
        <f t="shared" si="5"/>
        <v>13706.0469</v>
      </c>
      <c r="M106" s="6">
        <f t="shared" si="6"/>
        <v>3228753.048</v>
      </c>
      <c r="N106" s="6">
        <f t="shared" si="7"/>
        <v>968625.9145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70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  <c r="J107" s="68">
        <f t="shared" si="3"/>
        <v>154.7</v>
      </c>
      <c r="K107" s="6">
        <f t="shared" si="4"/>
        <v>19489.158</v>
      </c>
      <c r="L107" s="6">
        <f t="shared" si="5"/>
        <v>13642.4106</v>
      </c>
      <c r="M107" s="6">
        <f t="shared" si="6"/>
        <v>3014972.743</v>
      </c>
      <c r="N107" s="6">
        <f t="shared" si="7"/>
        <v>904491.8228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70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  <c r="J108" s="68">
        <f t="shared" si="3"/>
        <v>316.2</v>
      </c>
      <c r="K108" s="6">
        <f t="shared" si="4"/>
        <v>5660.478</v>
      </c>
      <c r="L108" s="6">
        <f t="shared" si="5"/>
        <v>3962.3346</v>
      </c>
      <c r="M108" s="6">
        <f t="shared" si="6"/>
        <v>1789843.144</v>
      </c>
      <c r="N108" s="6">
        <f t="shared" si="7"/>
        <v>536952.9431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70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  <c r="J109" s="68">
        <f t="shared" si="3"/>
        <v>230.35</v>
      </c>
      <c r="K109" s="6">
        <f t="shared" si="4"/>
        <v>6174.585</v>
      </c>
      <c r="L109" s="6">
        <f t="shared" si="5"/>
        <v>4322.2095</v>
      </c>
      <c r="M109" s="6">
        <f t="shared" si="6"/>
        <v>1422315.655</v>
      </c>
      <c r="N109" s="6">
        <f t="shared" si="7"/>
        <v>426694.6964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70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  <c r="J110" s="68">
        <f t="shared" si="3"/>
        <v>184.45</v>
      </c>
      <c r="K110" s="6">
        <f t="shared" si="4"/>
        <v>18977.103</v>
      </c>
      <c r="L110" s="6">
        <f t="shared" si="5"/>
        <v>13283.9721</v>
      </c>
      <c r="M110" s="6">
        <f t="shared" si="6"/>
        <v>3500326.648</v>
      </c>
      <c r="N110" s="6">
        <f t="shared" si="7"/>
        <v>1050097.995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70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  <c r="J111" s="68">
        <f t="shared" si="3"/>
        <v>850</v>
      </c>
      <c r="K111" s="6">
        <f t="shared" si="4"/>
        <v>4930.713</v>
      </c>
      <c r="L111" s="6">
        <f t="shared" si="5"/>
        <v>3451.4991</v>
      </c>
      <c r="M111" s="6">
        <f t="shared" si="6"/>
        <v>4191106.05</v>
      </c>
      <c r="N111" s="6">
        <f t="shared" si="7"/>
        <v>1257331.815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70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  <c r="J112" s="68">
        <f t="shared" si="3"/>
        <v>1000.45</v>
      </c>
      <c r="K112" s="6">
        <f t="shared" si="4"/>
        <v>4806.558</v>
      </c>
      <c r="L112" s="6">
        <f t="shared" si="5"/>
        <v>3364.5906</v>
      </c>
      <c r="M112" s="6">
        <f t="shared" si="6"/>
        <v>4808720.951</v>
      </c>
      <c r="N112" s="6">
        <f t="shared" si="7"/>
        <v>1442616.285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70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  <c r="J113" s="68">
        <f t="shared" si="3"/>
        <v>380.8</v>
      </c>
      <c r="K113" s="6">
        <f t="shared" si="4"/>
        <v>6043.383</v>
      </c>
      <c r="L113" s="6">
        <f t="shared" si="5"/>
        <v>4230.3681</v>
      </c>
      <c r="M113" s="6">
        <f t="shared" si="6"/>
        <v>2301320.246</v>
      </c>
      <c r="N113" s="6">
        <f t="shared" si="7"/>
        <v>690396.0739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70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  <c r="J114" s="68">
        <f t="shared" si="3"/>
        <v>174.25</v>
      </c>
      <c r="K114" s="6">
        <f t="shared" si="4"/>
        <v>18123.561</v>
      </c>
      <c r="L114" s="6">
        <f t="shared" si="5"/>
        <v>12686.4927</v>
      </c>
      <c r="M114" s="6">
        <f t="shared" si="6"/>
        <v>3158030.504</v>
      </c>
      <c r="N114" s="6">
        <f t="shared" si="7"/>
        <v>947409.1513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70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  <c r="J115" s="68">
        <f t="shared" si="3"/>
        <v>891.65</v>
      </c>
      <c r="K115" s="6">
        <f t="shared" si="4"/>
        <v>4760.001</v>
      </c>
      <c r="L115" s="6">
        <f t="shared" si="5"/>
        <v>3332.0007</v>
      </c>
      <c r="M115" s="6">
        <f t="shared" si="6"/>
        <v>4244254.892</v>
      </c>
      <c r="N115" s="6">
        <f t="shared" si="7"/>
        <v>1273276.467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70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  <c r="J116" s="68">
        <f t="shared" si="3"/>
        <v>324.7</v>
      </c>
      <c r="K116" s="6">
        <f t="shared" si="4"/>
        <v>5553.684</v>
      </c>
      <c r="L116" s="6">
        <f t="shared" si="5"/>
        <v>3887.5788</v>
      </c>
      <c r="M116" s="6">
        <f t="shared" si="6"/>
        <v>1803281.195</v>
      </c>
      <c r="N116" s="6">
        <f t="shared" si="7"/>
        <v>540984.3584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70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  <c r="J117" s="68">
        <f t="shared" si="3"/>
        <v>930.75</v>
      </c>
      <c r="K117" s="6">
        <f t="shared" si="4"/>
        <v>1214.991</v>
      </c>
      <c r="L117" s="6">
        <f t="shared" si="5"/>
        <v>850.4937</v>
      </c>
      <c r="M117" s="6">
        <f t="shared" si="6"/>
        <v>1130852.873</v>
      </c>
      <c r="N117" s="6">
        <f t="shared" si="7"/>
        <v>339255.862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70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  <c r="J118" s="68">
        <f t="shared" si="3"/>
        <v>561</v>
      </c>
      <c r="K118" s="6">
        <f t="shared" si="4"/>
        <v>4674.555</v>
      </c>
      <c r="L118" s="6">
        <f t="shared" si="5"/>
        <v>3272.1885</v>
      </c>
      <c r="M118" s="6">
        <f t="shared" si="6"/>
        <v>2622425.355</v>
      </c>
      <c r="N118" s="6">
        <f t="shared" si="7"/>
        <v>786727.6065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70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  <c r="J119" s="68">
        <f t="shared" si="3"/>
        <v>707.2</v>
      </c>
      <c r="K119" s="6">
        <f t="shared" si="4"/>
        <v>4627.287</v>
      </c>
      <c r="L119" s="6">
        <f t="shared" si="5"/>
        <v>3239.1009</v>
      </c>
      <c r="M119" s="6">
        <f t="shared" si="6"/>
        <v>3272417.366</v>
      </c>
      <c r="N119" s="6">
        <f t="shared" si="7"/>
        <v>981725.2099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70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  <c r="J120" s="68">
        <f t="shared" si="3"/>
        <v>122.4</v>
      </c>
      <c r="K120" s="6">
        <f t="shared" si="4"/>
        <v>18899.829</v>
      </c>
      <c r="L120" s="6">
        <f t="shared" si="5"/>
        <v>13229.8803</v>
      </c>
      <c r="M120" s="6">
        <f t="shared" si="6"/>
        <v>2313339.07</v>
      </c>
      <c r="N120" s="6">
        <f t="shared" si="7"/>
        <v>694001.7209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70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  <c r="J121" s="68">
        <f t="shared" si="3"/>
        <v>175.1</v>
      </c>
      <c r="K121" s="6">
        <f t="shared" si="4"/>
        <v>19152.999</v>
      </c>
      <c r="L121" s="6">
        <f t="shared" si="5"/>
        <v>13407.0993</v>
      </c>
      <c r="M121" s="6">
        <f t="shared" si="6"/>
        <v>3353690.125</v>
      </c>
      <c r="N121" s="6">
        <f t="shared" si="7"/>
        <v>1006107.037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70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  <c r="J122" s="68">
        <f t="shared" si="3"/>
        <v>557.6</v>
      </c>
      <c r="K122" s="6">
        <f t="shared" si="4"/>
        <v>1096.335</v>
      </c>
      <c r="L122" s="6">
        <f t="shared" si="5"/>
        <v>767.4345</v>
      </c>
      <c r="M122" s="6">
        <f t="shared" si="6"/>
        <v>611316.396</v>
      </c>
      <c r="N122" s="6">
        <f t="shared" si="7"/>
        <v>183394.9188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70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  <c r="J123" s="68">
        <f t="shared" si="3"/>
        <v>107.95</v>
      </c>
      <c r="K123" s="6">
        <f t="shared" si="4"/>
        <v>18791.829</v>
      </c>
      <c r="L123" s="6">
        <f t="shared" si="5"/>
        <v>13154.2803</v>
      </c>
      <c r="M123" s="6">
        <f t="shared" si="6"/>
        <v>2028577.941</v>
      </c>
      <c r="N123" s="6">
        <f t="shared" si="7"/>
        <v>608573.3822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70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  <c r="J124" s="68">
        <f t="shared" si="3"/>
        <v>956.25</v>
      </c>
      <c r="K124" s="6">
        <f t="shared" si="4"/>
        <v>4926.033</v>
      </c>
      <c r="L124" s="6">
        <f t="shared" si="5"/>
        <v>3448.2231</v>
      </c>
      <c r="M124" s="6">
        <f t="shared" si="6"/>
        <v>4710519.056</v>
      </c>
      <c r="N124" s="6">
        <f t="shared" si="7"/>
        <v>1413155.717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70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  <c r="J125" s="68">
        <f t="shared" si="3"/>
        <v>181.9</v>
      </c>
      <c r="K125" s="6">
        <f t="shared" si="4"/>
        <v>19689.147</v>
      </c>
      <c r="L125" s="6">
        <f t="shared" si="5"/>
        <v>13782.4029</v>
      </c>
      <c r="M125" s="6">
        <f t="shared" si="6"/>
        <v>3581455.839</v>
      </c>
      <c r="N125" s="6">
        <f t="shared" si="7"/>
        <v>1074436.752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70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  <c r="J126" s="68">
        <f t="shared" si="3"/>
        <v>532.95</v>
      </c>
      <c r="K126" s="6">
        <f t="shared" si="4"/>
        <v>4653.621</v>
      </c>
      <c r="L126" s="6">
        <f t="shared" si="5"/>
        <v>3257.5347</v>
      </c>
      <c r="M126" s="6">
        <f t="shared" si="6"/>
        <v>2480147.312</v>
      </c>
      <c r="N126" s="6">
        <f t="shared" si="7"/>
        <v>744044.1936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70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  <c r="J127" s="68">
        <f t="shared" si="3"/>
        <v>1002.15</v>
      </c>
      <c r="K127" s="6">
        <f t="shared" si="4"/>
        <v>4575.321</v>
      </c>
      <c r="L127" s="6">
        <f t="shared" si="5"/>
        <v>3202.7247</v>
      </c>
      <c r="M127" s="6">
        <f t="shared" si="6"/>
        <v>4585157.94</v>
      </c>
      <c r="N127" s="6">
        <f t="shared" si="7"/>
        <v>1375547.382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70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  <c r="J128" s="68">
        <f t="shared" si="3"/>
        <v>362.95</v>
      </c>
      <c r="K128" s="6">
        <f t="shared" si="4"/>
        <v>6671.07</v>
      </c>
      <c r="L128" s="6">
        <f t="shared" si="5"/>
        <v>4669.749</v>
      </c>
      <c r="M128" s="6">
        <f t="shared" si="6"/>
        <v>2421264.857</v>
      </c>
      <c r="N128" s="6">
        <f t="shared" si="7"/>
        <v>726379.457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70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  <c r="J129" s="68">
        <f t="shared" si="3"/>
        <v>204.85</v>
      </c>
      <c r="K129" s="6">
        <f t="shared" si="4"/>
        <v>6303.924</v>
      </c>
      <c r="L129" s="6">
        <f t="shared" si="5"/>
        <v>4412.7468</v>
      </c>
      <c r="M129" s="6">
        <f t="shared" si="6"/>
        <v>1291358.831</v>
      </c>
      <c r="N129" s="6">
        <f t="shared" si="7"/>
        <v>387407.6494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70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  <c r="J130" s="68">
        <f t="shared" si="3"/>
        <v>138.55</v>
      </c>
      <c r="K130" s="6">
        <f t="shared" si="4"/>
        <v>17972.082</v>
      </c>
      <c r="L130" s="6">
        <f t="shared" si="5"/>
        <v>12580.4574</v>
      </c>
      <c r="M130" s="6">
        <f t="shared" si="6"/>
        <v>2490031.961</v>
      </c>
      <c r="N130" s="6">
        <f t="shared" si="7"/>
        <v>747009.5883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70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  <c r="J131" s="68">
        <f t="shared" si="3"/>
        <v>880.6</v>
      </c>
      <c r="K131" s="6">
        <f t="shared" si="4"/>
        <v>4939.434</v>
      </c>
      <c r="L131" s="6">
        <f t="shared" si="5"/>
        <v>3457.6038</v>
      </c>
      <c r="M131" s="6">
        <f t="shared" si="6"/>
        <v>4349665.58</v>
      </c>
      <c r="N131" s="6">
        <f t="shared" si="7"/>
        <v>1304899.674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70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  <c r="J132" s="68">
        <f t="shared" si="3"/>
        <v>264.35</v>
      </c>
      <c r="K132" s="6">
        <f t="shared" si="4"/>
        <v>5926.887</v>
      </c>
      <c r="L132" s="6">
        <f t="shared" si="5"/>
        <v>4148.8209</v>
      </c>
      <c r="M132" s="6">
        <f t="shared" si="6"/>
        <v>1566772.578</v>
      </c>
      <c r="N132" s="6">
        <f t="shared" si="7"/>
        <v>470031.7735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70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  <c r="J133" s="68">
        <f t="shared" si="3"/>
        <v>715.7</v>
      </c>
      <c r="K133" s="6">
        <f t="shared" si="4"/>
        <v>4695.579</v>
      </c>
      <c r="L133" s="6">
        <f t="shared" si="5"/>
        <v>3286.9053</v>
      </c>
      <c r="M133" s="6">
        <f t="shared" si="6"/>
        <v>3360625.89</v>
      </c>
      <c r="N133" s="6">
        <f t="shared" si="7"/>
        <v>1008187.767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70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  <c r="J134" s="68">
        <f t="shared" si="3"/>
        <v>528.7</v>
      </c>
      <c r="K134" s="6">
        <f t="shared" si="4"/>
        <v>1095.66</v>
      </c>
      <c r="L134" s="6">
        <f t="shared" si="5"/>
        <v>766.962</v>
      </c>
      <c r="M134" s="6">
        <f t="shared" si="6"/>
        <v>579275.442</v>
      </c>
      <c r="N134" s="6">
        <f t="shared" si="7"/>
        <v>173782.6326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70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  <c r="J135" s="68">
        <f t="shared" si="3"/>
        <v>937.55</v>
      </c>
      <c r="K135" s="6">
        <f t="shared" si="4"/>
        <v>4933.413</v>
      </c>
      <c r="L135" s="6">
        <f t="shared" si="5"/>
        <v>3453.3891</v>
      </c>
      <c r="M135" s="6">
        <f t="shared" si="6"/>
        <v>4625321.358</v>
      </c>
      <c r="N135" s="6">
        <f t="shared" si="7"/>
        <v>1387596.407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70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  <c r="J136" s="68">
        <f t="shared" si="3"/>
        <v>341.7</v>
      </c>
      <c r="K136" s="6">
        <f t="shared" si="4"/>
        <v>5579.262</v>
      </c>
      <c r="L136" s="6">
        <f t="shared" si="5"/>
        <v>3905.4834</v>
      </c>
      <c r="M136" s="6">
        <f t="shared" si="6"/>
        <v>1906433.825</v>
      </c>
      <c r="N136" s="6">
        <f t="shared" si="7"/>
        <v>571930.1476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70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  <c r="J137" s="68">
        <f t="shared" si="3"/>
        <v>141.95</v>
      </c>
      <c r="K137" s="6">
        <f t="shared" si="4"/>
        <v>19741.221</v>
      </c>
      <c r="L137" s="6">
        <f t="shared" si="5"/>
        <v>13818.8547</v>
      </c>
      <c r="M137" s="6">
        <f t="shared" si="6"/>
        <v>2802266.321</v>
      </c>
      <c r="N137" s="6">
        <f t="shared" si="7"/>
        <v>840679.8963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70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  <c r="J138" s="68">
        <f t="shared" si="3"/>
        <v>628.15</v>
      </c>
      <c r="K138" s="6">
        <f t="shared" si="4"/>
        <v>4816.746</v>
      </c>
      <c r="L138" s="6">
        <f t="shared" si="5"/>
        <v>3371.7222</v>
      </c>
      <c r="M138" s="6">
        <f t="shared" si="6"/>
        <v>3025639</v>
      </c>
      <c r="N138" s="6">
        <f t="shared" si="7"/>
        <v>907691.7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70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  <c r="J139" s="68">
        <f t="shared" si="3"/>
        <v>389.3</v>
      </c>
      <c r="K139" s="6">
        <f t="shared" si="4"/>
        <v>5785.839</v>
      </c>
      <c r="L139" s="6">
        <f t="shared" si="5"/>
        <v>4050.0873</v>
      </c>
      <c r="M139" s="6">
        <f t="shared" si="6"/>
        <v>2252427.123</v>
      </c>
      <c r="N139" s="6">
        <f t="shared" si="7"/>
        <v>675728.1368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70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  <c r="J140" s="68">
        <f t="shared" si="3"/>
        <v>88.4</v>
      </c>
      <c r="K140" s="6">
        <f t="shared" si="4"/>
        <v>20074.527</v>
      </c>
      <c r="L140" s="6">
        <f t="shared" si="5"/>
        <v>14052.1689</v>
      </c>
      <c r="M140" s="6">
        <f t="shared" si="6"/>
        <v>1774588.187</v>
      </c>
      <c r="N140" s="6">
        <f t="shared" si="7"/>
        <v>532376.456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70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  <c r="J141" s="68">
        <f t="shared" si="3"/>
        <v>976.65</v>
      </c>
      <c r="K141" s="6">
        <f t="shared" si="4"/>
        <v>4666.158</v>
      </c>
      <c r="L141" s="6">
        <f t="shared" si="5"/>
        <v>3266.3106</v>
      </c>
      <c r="M141" s="6">
        <f t="shared" si="6"/>
        <v>4557203.211</v>
      </c>
      <c r="N141" s="6">
        <f t="shared" si="7"/>
        <v>1367160.963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70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  <c r="J142" s="68">
        <f t="shared" si="3"/>
        <v>150.45</v>
      </c>
      <c r="K142" s="6">
        <f t="shared" si="4"/>
        <v>18983.952</v>
      </c>
      <c r="L142" s="6">
        <f t="shared" si="5"/>
        <v>13288.7664</v>
      </c>
      <c r="M142" s="6">
        <f t="shared" si="6"/>
        <v>2856135.578</v>
      </c>
      <c r="N142" s="6">
        <f t="shared" si="7"/>
        <v>856840.6735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70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  <c r="J143" s="68">
        <f t="shared" si="3"/>
        <v>635.8</v>
      </c>
      <c r="K143" s="6">
        <f t="shared" si="4"/>
        <v>968.238</v>
      </c>
      <c r="L143" s="6">
        <f t="shared" si="5"/>
        <v>677.7666</v>
      </c>
      <c r="M143" s="6">
        <f t="shared" si="6"/>
        <v>615605.7204</v>
      </c>
      <c r="N143" s="6">
        <f t="shared" si="7"/>
        <v>184681.7161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70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  <c r="J144" s="68">
        <f t="shared" si="3"/>
        <v>135.15</v>
      </c>
      <c r="K144" s="6">
        <f t="shared" si="4"/>
        <v>19120.698</v>
      </c>
      <c r="L144" s="6">
        <f t="shared" si="5"/>
        <v>13384.4886</v>
      </c>
      <c r="M144" s="6">
        <f t="shared" si="6"/>
        <v>2584162.335</v>
      </c>
      <c r="N144" s="6">
        <f t="shared" si="7"/>
        <v>775248.7004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70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  <c r="J145" s="68">
        <f t="shared" si="3"/>
        <v>544.85</v>
      </c>
      <c r="K145" s="6">
        <f t="shared" si="4"/>
        <v>4712.571</v>
      </c>
      <c r="L145" s="6">
        <f t="shared" si="5"/>
        <v>3298.7997</v>
      </c>
      <c r="M145" s="6">
        <f t="shared" si="6"/>
        <v>2567644.309</v>
      </c>
      <c r="N145" s="6">
        <f t="shared" si="7"/>
        <v>770293.2928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70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  <c r="J146" s="68">
        <f t="shared" si="3"/>
        <v>257.55</v>
      </c>
      <c r="K146" s="6">
        <f t="shared" si="4"/>
        <v>5847.372</v>
      </c>
      <c r="L146" s="6">
        <f t="shared" si="5"/>
        <v>4093.1604</v>
      </c>
      <c r="M146" s="6">
        <f t="shared" si="6"/>
        <v>1505990.659</v>
      </c>
      <c r="N146" s="6">
        <f t="shared" si="7"/>
        <v>451797.1976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70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  <c r="J147" s="68">
        <f t="shared" si="3"/>
        <v>632.4</v>
      </c>
      <c r="K147" s="6">
        <f t="shared" si="4"/>
        <v>4368.537</v>
      </c>
      <c r="L147" s="6">
        <f t="shared" si="5"/>
        <v>3057.9759</v>
      </c>
      <c r="M147" s="6">
        <f t="shared" si="6"/>
        <v>2762662.799</v>
      </c>
      <c r="N147" s="6">
        <f t="shared" si="7"/>
        <v>828798.8396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70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  <c r="J148" s="68">
        <f t="shared" si="3"/>
        <v>129.2</v>
      </c>
      <c r="K148" s="6">
        <f t="shared" si="4"/>
        <v>19519.641</v>
      </c>
      <c r="L148" s="6">
        <f t="shared" si="5"/>
        <v>13663.7487</v>
      </c>
      <c r="M148" s="6">
        <f t="shared" si="6"/>
        <v>2521937.617</v>
      </c>
      <c r="N148" s="6">
        <f t="shared" si="7"/>
        <v>756581.2852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70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  <c r="J149" s="68">
        <f t="shared" si="3"/>
        <v>321.3</v>
      </c>
      <c r="K149" s="6">
        <f t="shared" si="4"/>
        <v>6238.134</v>
      </c>
      <c r="L149" s="6">
        <f t="shared" si="5"/>
        <v>4366.6938</v>
      </c>
      <c r="M149" s="6">
        <f t="shared" si="6"/>
        <v>2004312.454</v>
      </c>
      <c r="N149" s="6">
        <f t="shared" si="7"/>
        <v>601293.7363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70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  <c r="J150" s="68">
        <f t="shared" si="3"/>
        <v>745.45</v>
      </c>
      <c r="K150" s="6">
        <f t="shared" si="4"/>
        <v>1096.371</v>
      </c>
      <c r="L150" s="6">
        <f t="shared" si="5"/>
        <v>767.4597</v>
      </c>
      <c r="M150" s="6">
        <f t="shared" si="6"/>
        <v>817289.762</v>
      </c>
      <c r="N150" s="6">
        <f t="shared" si="7"/>
        <v>245186.9286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70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  <c r="J151" s="68">
        <f t="shared" si="3"/>
        <v>414.8</v>
      </c>
      <c r="K151" s="6">
        <f t="shared" si="4"/>
        <v>6097.023</v>
      </c>
      <c r="L151" s="6">
        <f t="shared" si="5"/>
        <v>4267.9161</v>
      </c>
      <c r="M151" s="6">
        <f t="shared" si="6"/>
        <v>2529045.14</v>
      </c>
      <c r="N151" s="6">
        <f t="shared" si="7"/>
        <v>758713.5421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70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  <c r="J152" s="68">
        <f t="shared" si="3"/>
        <v>88.4</v>
      </c>
      <c r="K152" s="6">
        <f t="shared" si="4"/>
        <v>19099.782</v>
      </c>
      <c r="L152" s="6">
        <f t="shared" si="5"/>
        <v>13369.8474</v>
      </c>
      <c r="M152" s="6">
        <f t="shared" si="6"/>
        <v>1688420.729</v>
      </c>
      <c r="N152" s="6">
        <f t="shared" si="7"/>
        <v>506526.2186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70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  <c r="J153" s="68">
        <f t="shared" si="3"/>
        <v>930.75</v>
      </c>
      <c r="K153" s="6">
        <f t="shared" si="4"/>
        <v>1154.619</v>
      </c>
      <c r="L153" s="6">
        <f t="shared" si="5"/>
        <v>808.2333</v>
      </c>
      <c r="M153" s="6">
        <f t="shared" si="6"/>
        <v>1074661.634</v>
      </c>
      <c r="N153" s="6">
        <f t="shared" si="7"/>
        <v>322398.4903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70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  <c r="J154" s="68">
        <f t="shared" si="3"/>
        <v>549.1</v>
      </c>
      <c r="K154" s="6">
        <f t="shared" si="4"/>
        <v>5024.565</v>
      </c>
      <c r="L154" s="6">
        <f t="shared" si="5"/>
        <v>3517.1955</v>
      </c>
      <c r="M154" s="6">
        <f t="shared" si="6"/>
        <v>2758988.642</v>
      </c>
      <c r="N154" s="6">
        <f t="shared" si="7"/>
        <v>827696.5925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70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  <c r="J155" s="68">
        <f t="shared" si="3"/>
        <v>587.35</v>
      </c>
      <c r="K155" s="6">
        <f t="shared" si="4"/>
        <v>1037.376</v>
      </c>
      <c r="L155" s="6">
        <f t="shared" si="5"/>
        <v>726.1632</v>
      </c>
      <c r="M155" s="6">
        <f t="shared" si="6"/>
        <v>609302.7936</v>
      </c>
      <c r="N155" s="6">
        <f t="shared" si="7"/>
        <v>182790.8381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70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  <c r="J156" s="68">
        <f t="shared" si="3"/>
        <v>385.05</v>
      </c>
      <c r="K156" s="6">
        <f t="shared" si="4"/>
        <v>6076.062</v>
      </c>
      <c r="L156" s="6">
        <f t="shared" si="5"/>
        <v>4253.2434</v>
      </c>
      <c r="M156" s="6">
        <f t="shared" si="6"/>
        <v>2339587.673</v>
      </c>
      <c r="N156" s="6">
        <f t="shared" si="7"/>
        <v>701876.3019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70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  <c r="J157" s="68">
        <f t="shared" si="3"/>
        <v>524.45</v>
      </c>
      <c r="K157" s="6">
        <f t="shared" si="4"/>
        <v>1155.204</v>
      </c>
      <c r="L157" s="6">
        <f t="shared" si="5"/>
        <v>808.6428</v>
      </c>
      <c r="M157" s="6">
        <f t="shared" si="6"/>
        <v>605846.7378</v>
      </c>
      <c r="N157" s="6">
        <f t="shared" si="7"/>
        <v>181754.0213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70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  <c r="J158" s="68">
        <f t="shared" si="3"/>
        <v>900.15</v>
      </c>
      <c r="K158" s="6">
        <f t="shared" si="4"/>
        <v>4986.891</v>
      </c>
      <c r="L158" s="6">
        <f t="shared" si="5"/>
        <v>3490.8237</v>
      </c>
      <c r="M158" s="6">
        <f t="shared" si="6"/>
        <v>4488949.934</v>
      </c>
      <c r="N158" s="6">
        <f t="shared" si="7"/>
        <v>1346684.98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70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  <c r="J159" s="68">
        <f t="shared" si="3"/>
        <v>193.8</v>
      </c>
      <c r="K159" s="6">
        <f t="shared" si="4"/>
        <v>6211.557</v>
      </c>
      <c r="L159" s="6">
        <f t="shared" si="5"/>
        <v>4348.0899</v>
      </c>
      <c r="M159" s="6">
        <f t="shared" si="6"/>
        <v>1203799.747</v>
      </c>
      <c r="N159" s="6">
        <f t="shared" si="7"/>
        <v>361139.924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70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  <c r="J160" s="68">
        <f t="shared" si="3"/>
        <v>387.6</v>
      </c>
      <c r="K160" s="6">
        <f t="shared" si="4"/>
        <v>6715.449</v>
      </c>
      <c r="L160" s="6">
        <f t="shared" si="5"/>
        <v>4700.8143</v>
      </c>
      <c r="M160" s="6">
        <f t="shared" si="6"/>
        <v>2602908.032</v>
      </c>
      <c r="N160" s="6">
        <f t="shared" si="7"/>
        <v>780872.4097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70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  <c r="J161" s="68">
        <f t="shared" si="3"/>
        <v>680.85</v>
      </c>
      <c r="K161" s="6">
        <f t="shared" si="4"/>
        <v>4864.311</v>
      </c>
      <c r="L161" s="6">
        <f t="shared" si="5"/>
        <v>3405.0177</v>
      </c>
      <c r="M161" s="6">
        <f t="shared" si="6"/>
        <v>3311866.144</v>
      </c>
      <c r="N161" s="6">
        <f t="shared" si="7"/>
        <v>993559.8433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70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  <c r="J162" s="68">
        <f t="shared" si="3"/>
        <v>997.9</v>
      </c>
      <c r="K162" s="6">
        <f t="shared" si="4"/>
        <v>4959.324</v>
      </c>
      <c r="L162" s="6">
        <f t="shared" si="5"/>
        <v>3471.5268</v>
      </c>
      <c r="M162" s="6">
        <f t="shared" si="6"/>
        <v>4948909.42</v>
      </c>
      <c r="N162" s="6">
        <f t="shared" si="7"/>
        <v>1484672.826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70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  <c r="J163" s="68">
        <f t="shared" si="3"/>
        <v>183.6</v>
      </c>
      <c r="K163" s="6">
        <f t="shared" si="4"/>
        <v>5963.211</v>
      </c>
      <c r="L163" s="6">
        <f t="shared" si="5"/>
        <v>4174.2477</v>
      </c>
      <c r="M163" s="6">
        <f t="shared" si="6"/>
        <v>1094845.54</v>
      </c>
      <c r="N163" s="6">
        <f t="shared" si="7"/>
        <v>328453.6619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70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  <c r="J164" s="68">
        <f t="shared" si="3"/>
        <v>360.4</v>
      </c>
      <c r="K164" s="6">
        <f t="shared" si="4"/>
        <v>837.279</v>
      </c>
      <c r="L164" s="6">
        <f t="shared" si="5"/>
        <v>586.0953</v>
      </c>
      <c r="M164" s="6">
        <f t="shared" si="6"/>
        <v>301755.3516</v>
      </c>
      <c r="N164" s="6">
        <f t="shared" si="7"/>
        <v>90526.60548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70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  <c r="J165" s="68">
        <f t="shared" si="3"/>
        <v>181.05</v>
      </c>
      <c r="K165" s="6">
        <f t="shared" si="4"/>
        <v>19310.904</v>
      </c>
      <c r="L165" s="6">
        <f t="shared" si="5"/>
        <v>13517.6328</v>
      </c>
      <c r="M165" s="6">
        <f t="shared" si="6"/>
        <v>3496239.169</v>
      </c>
      <c r="N165" s="6">
        <f t="shared" si="7"/>
        <v>1048871.751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70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  <c r="J166" s="68">
        <f t="shared" si="3"/>
        <v>646</v>
      </c>
      <c r="K166" s="6">
        <f t="shared" si="4"/>
        <v>1055.799</v>
      </c>
      <c r="L166" s="6">
        <f t="shared" si="5"/>
        <v>739.0593</v>
      </c>
      <c r="M166" s="6">
        <f t="shared" si="6"/>
        <v>682046.154</v>
      </c>
      <c r="N166" s="6">
        <f t="shared" si="7"/>
        <v>204613.8462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70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  <c r="J167" s="68">
        <f t="shared" si="3"/>
        <v>387.6</v>
      </c>
      <c r="K167" s="6">
        <f t="shared" si="4"/>
        <v>5731.236</v>
      </c>
      <c r="L167" s="6">
        <f t="shared" si="5"/>
        <v>4011.8652</v>
      </c>
      <c r="M167" s="6">
        <f t="shared" si="6"/>
        <v>2221427.074</v>
      </c>
      <c r="N167" s="6">
        <f t="shared" si="7"/>
        <v>666428.1221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70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  <c r="J168" s="68">
        <f t="shared" si="3"/>
        <v>348.5</v>
      </c>
      <c r="K168" s="6">
        <f t="shared" si="4"/>
        <v>5909.031</v>
      </c>
      <c r="L168" s="6">
        <f t="shared" si="5"/>
        <v>4136.3217</v>
      </c>
      <c r="M168" s="6">
        <f t="shared" si="6"/>
        <v>2059297.304</v>
      </c>
      <c r="N168" s="6">
        <f t="shared" si="7"/>
        <v>617789.1911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70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  <c r="J169" s="68">
        <f t="shared" si="3"/>
        <v>85</v>
      </c>
      <c r="K169" s="6">
        <f t="shared" si="4"/>
        <v>17820.648</v>
      </c>
      <c r="L169" s="6">
        <f t="shared" si="5"/>
        <v>12474.4536</v>
      </c>
      <c r="M169" s="6">
        <f t="shared" si="6"/>
        <v>1514755.08</v>
      </c>
      <c r="N169" s="6">
        <f t="shared" si="7"/>
        <v>454426.524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70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  <c r="J170" s="68">
        <f t="shared" si="3"/>
        <v>180.2</v>
      </c>
      <c r="K170" s="6">
        <f t="shared" si="4"/>
        <v>20247.183</v>
      </c>
      <c r="L170" s="6">
        <f t="shared" si="5"/>
        <v>14173.0281</v>
      </c>
      <c r="M170" s="6">
        <f t="shared" si="6"/>
        <v>3648542.377</v>
      </c>
      <c r="N170" s="6">
        <f t="shared" si="7"/>
        <v>1094562.713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70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  <c r="J171" s="68">
        <f t="shared" si="3"/>
        <v>555.9</v>
      </c>
      <c r="K171" s="6">
        <f t="shared" si="4"/>
        <v>4396.788</v>
      </c>
      <c r="L171" s="6">
        <f t="shared" si="5"/>
        <v>3077.7516</v>
      </c>
      <c r="M171" s="6">
        <f t="shared" si="6"/>
        <v>2444174.449</v>
      </c>
      <c r="N171" s="6">
        <f t="shared" si="7"/>
        <v>733252.3348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70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  <c r="J172" s="68">
        <f t="shared" si="3"/>
        <v>306.85</v>
      </c>
      <c r="K172" s="6">
        <f t="shared" si="4"/>
        <v>5932.287</v>
      </c>
      <c r="L172" s="6">
        <f t="shared" si="5"/>
        <v>4152.6009</v>
      </c>
      <c r="M172" s="6">
        <f t="shared" si="6"/>
        <v>1820322.266</v>
      </c>
      <c r="N172" s="6">
        <f t="shared" si="7"/>
        <v>546096.6798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70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  <c r="J173" s="68">
        <f t="shared" si="3"/>
        <v>515.95</v>
      </c>
      <c r="K173" s="6">
        <f t="shared" si="4"/>
        <v>4757.472</v>
      </c>
      <c r="L173" s="6">
        <f t="shared" si="5"/>
        <v>3330.2304</v>
      </c>
      <c r="M173" s="6">
        <f t="shared" si="6"/>
        <v>2454617.678</v>
      </c>
      <c r="N173" s="6">
        <f t="shared" si="7"/>
        <v>736385.3035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70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  <c r="J174" s="68">
        <f t="shared" si="3"/>
        <v>715.7</v>
      </c>
      <c r="K174" s="6">
        <f t="shared" si="4"/>
        <v>1311.426</v>
      </c>
      <c r="L174" s="6">
        <f t="shared" si="5"/>
        <v>917.9982</v>
      </c>
      <c r="M174" s="6">
        <f t="shared" si="6"/>
        <v>938587.5882</v>
      </c>
      <c r="N174" s="6">
        <f t="shared" si="7"/>
        <v>281576.2765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70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  <c r="J175" s="68">
        <f t="shared" si="3"/>
        <v>251.6</v>
      </c>
      <c r="K175" s="6">
        <f t="shared" si="4"/>
        <v>6070.23</v>
      </c>
      <c r="L175" s="6">
        <f t="shared" si="5"/>
        <v>4249.161</v>
      </c>
      <c r="M175" s="6">
        <f t="shared" si="6"/>
        <v>1527269.868</v>
      </c>
      <c r="N175" s="6">
        <f t="shared" si="7"/>
        <v>458180.9604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70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  <c r="J176" s="68">
        <f t="shared" si="3"/>
        <v>250.75</v>
      </c>
      <c r="K176" s="6">
        <f t="shared" si="4"/>
        <v>6033.51</v>
      </c>
      <c r="L176" s="6">
        <f t="shared" si="5"/>
        <v>4223.457</v>
      </c>
      <c r="M176" s="6">
        <f t="shared" si="6"/>
        <v>1512902.633</v>
      </c>
      <c r="N176" s="6">
        <f t="shared" si="7"/>
        <v>453870.7898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70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  <c r="J177" s="68">
        <f t="shared" si="3"/>
        <v>663.85</v>
      </c>
      <c r="K177" s="6">
        <f t="shared" si="4"/>
        <v>4781.079</v>
      </c>
      <c r="L177" s="6">
        <f t="shared" si="5"/>
        <v>3346.7553</v>
      </c>
      <c r="M177" s="6">
        <f t="shared" si="6"/>
        <v>3173919.294</v>
      </c>
      <c r="N177" s="6">
        <f t="shared" si="7"/>
        <v>952175.7882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70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  <c r="J178" s="68">
        <f t="shared" si="3"/>
        <v>392.7</v>
      </c>
      <c r="K178" s="6">
        <f t="shared" si="4"/>
        <v>6215.985</v>
      </c>
      <c r="L178" s="6">
        <f t="shared" si="5"/>
        <v>4351.1895</v>
      </c>
      <c r="M178" s="6">
        <f t="shared" si="6"/>
        <v>2441017.31</v>
      </c>
      <c r="N178" s="6">
        <f t="shared" si="7"/>
        <v>732305.1929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70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  <c r="J179" s="68">
        <f t="shared" si="3"/>
        <v>578.85</v>
      </c>
      <c r="K179" s="6">
        <f t="shared" si="4"/>
        <v>4854.024</v>
      </c>
      <c r="L179" s="6">
        <f t="shared" si="5"/>
        <v>3397.8168</v>
      </c>
      <c r="M179" s="6">
        <f t="shared" si="6"/>
        <v>2809751.792</v>
      </c>
      <c r="N179" s="6">
        <f t="shared" si="7"/>
        <v>842925.5377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70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  <c r="J180" s="68">
        <f t="shared" si="3"/>
        <v>368.05</v>
      </c>
      <c r="K180" s="6">
        <f t="shared" si="4"/>
        <v>5906.205</v>
      </c>
      <c r="L180" s="6">
        <f t="shared" si="5"/>
        <v>4134.3435</v>
      </c>
      <c r="M180" s="6">
        <f t="shared" si="6"/>
        <v>2173778.75</v>
      </c>
      <c r="N180" s="6">
        <f t="shared" si="7"/>
        <v>652133.6251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70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  <c r="J181" s="68">
        <f t="shared" si="3"/>
        <v>726.75</v>
      </c>
      <c r="K181" s="6">
        <f t="shared" si="4"/>
        <v>4965.939</v>
      </c>
      <c r="L181" s="6">
        <f t="shared" si="5"/>
        <v>3476.1573</v>
      </c>
      <c r="M181" s="6">
        <f t="shared" si="6"/>
        <v>3608996.168</v>
      </c>
      <c r="N181" s="6">
        <f t="shared" si="7"/>
        <v>1082698.85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70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  <c r="J182" s="68">
        <f t="shared" si="3"/>
        <v>764.15</v>
      </c>
      <c r="K182" s="6">
        <f t="shared" si="4"/>
        <v>1094.976</v>
      </c>
      <c r="L182" s="6">
        <f t="shared" si="5"/>
        <v>766.4832</v>
      </c>
      <c r="M182" s="6">
        <f t="shared" si="6"/>
        <v>836725.9104</v>
      </c>
      <c r="N182" s="6">
        <f t="shared" si="7"/>
        <v>251017.7731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70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  <c r="J183" s="68">
        <f t="shared" si="3"/>
        <v>181.9</v>
      </c>
      <c r="K183" s="6">
        <f t="shared" si="4"/>
        <v>18647.298</v>
      </c>
      <c r="L183" s="6">
        <f t="shared" si="5"/>
        <v>13053.1086</v>
      </c>
      <c r="M183" s="6">
        <f t="shared" si="6"/>
        <v>3391943.506</v>
      </c>
      <c r="N183" s="6">
        <f t="shared" si="7"/>
        <v>1017583.052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70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  <c r="J184" s="68">
        <f t="shared" si="3"/>
        <v>105.4</v>
      </c>
      <c r="K184" s="6">
        <f t="shared" si="4"/>
        <v>18901.548</v>
      </c>
      <c r="L184" s="6">
        <f t="shared" si="5"/>
        <v>13231.0836</v>
      </c>
      <c r="M184" s="6">
        <f t="shared" si="6"/>
        <v>1992223.159</v>
      </c>
      <c r="N184" s="6">
        <f t="shared" si="7"/>
        <v>597666.9478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70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  <c r="J185" s="68">
        <f t="shared" si="3"/>
        <v>108.8</v>
      </c>
      <c r="K185" s="6">
        <f t="shared" si="4"/>
        <v>19048.941</v>
      </c>
      <c r="L185" s="6">
        <f t="shared" si="5"/>
        <v>13334.2587</v>
      </c>
      <c r="M185" s="6">
        <f t="shared" si="6"/>
        <v>2072524.781</v>
      </c>
      <c r="N185" s="6">
        <f t="shared" si="7"/>
        <v>621757.4342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70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  <c r="J186" s="68">
        <f t="shared" si="3"/>
        <v>293.25</v>
      </c>
      <c r="K186" s="6">
        <f t="shared" si="4"/>
        <v>6393.618</v>
      </c>
      <c r="L186" s="6">
        <f t="shared" si="5"/>
        <v>4475.5326</v>
      </c>
      <c r="M186" s="6">
        <f t="shared" si="6"/>
        <v>1874928.479</v>
      </c>
      <c r="N186" s="6">
        <f t="shared" si="7"/>
        <v>562478.5436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70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  <c r="J187" s="68">
        <f t="shared" si="3"/>
        <v>639.2</v>
      </c>
      <c r="K187" s="6">
        <f t="shared" si="4"/>
        <v>4792.824</v>
      </c>
      <c r="L187" s="6">
        <f t="shared" si="5"/>
        <v>3354.9768</v>
      </c>
      <c r="M187" s="6">
        <f t="shared" si="6"/>
        <v>3063573.101</v>
      </c>
      <c r="N187" s="6">
        <f t="shared" si="7"/>
        <v>919071.9302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70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  <c r="J188" s="68">
        <f t="shared" si="3"/>
        <v>157.25</v>
      </c>
      <c r="K188" s="6">
        <f t="shared" si="4"/>
        <v>19534.338</v>
      </c>
      <c r="L188" s="6">
        <f t="shared" si="5"/>
        <v>13674.0366</v>
      </c>
      <c r="M188" s="6">
        <f t="shared" si="6"/>
        <v>3071774.651</v>
      </c>
      <c r="N188" s="6">
        <f t="shared" si="7"/>
        <v>921532.3952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70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  <c r="J189" s="68">
        <f t="shared" si="3"/>
        <v>316.2</v>
      </c>
      <c r="K189" s="6">
        <f t="shared" si="4"/>
        <v>6295.329</v>
      </c>
      <c r="L189" s="6">
        <f t="shared" si="5"/>
        <v>4406.7303</v>
      </c>
      <c r="M189" s="6">
        <f t="shared" si="6"/>
        <v>1990583.03</v>
      </c>
      <c r="N189" s="6">
        <f t="shared" si="7"/>
        <v>597174.9089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70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  <c r="J190" s="68">
        <f t="shared" si="3"/>
        <v>187.85</v>
      </c>
      <c r="K190" s="6">
        <f t="shared" si="4"/>
        <v>18014.553</v>
      </c>
      <c r="L190" s="6">
        <f t="shared" si="5"/>
        <v>12610.1871</v>
      </c>
      <c r="M190" s="6">
        <f t="shared" si="6"/>
        <v>3384033.781</v>
      </c>
      <c r="N190" s="6">
        <f t="shared" si="7"/>
        <v>1015210.134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70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  <c r="J191" s="68">
        <f t="shared" si="3"/>
        <v>757.35</v>
      </c>
      <c r="K191" s="6">
        <f t="shared" si="4"/>
        <v>4591.872</v>
      </c>
      <c r="L191" s="6">
        <f t="shared" si="5"/>
        <v>3214.3104</v>
      </c>
      <c r="M191" s="6">
        <f t="shared" si="6"/>
        <v>3477654.259</v>
      </c>
      <c r="N191" s="6">
        <f t="shared" si="7"/>
        <v>1043296.278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70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  <c r="J192" s="68">
        <f t="shared" si="3"/>
        <v>348.5</v>
      </c>
      <c r="K192" s="6">
        <f t="shared" si="4"/>
        <v>1200.717</v>
      </c>
      <c r="L192" s="6">
        <f t="shared" si="5"/>
        <v>840.5019</v>
      </c>
      <c r="M192" s="6">
        <f t="shared" si="6"/>
        <v>418449.8745</v>
      </c>
      <c r="N192" s="6">
        <f t="shared" si="7"/>
        <v>125534.9624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70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  <c r="J193" s="68">
        <f t="shared" si="3"/>
        <v>130.9</v>
      </c>
      <c r="K193" s="6">
        <f t="shared" si="4"/>
        <v>18713.682</v>
      </c>
      <c r="L193" s="6">
        <f t="shared" si="5"/>
        <v>13099.5774</v>
      </c>
      <c r="M193" s="6">
        <f t="shared" si="6"/>
        <v>2449620.974</v>
      </c>
      <c r="N193" s="6">
        <f t="shared" si="7"/>
        <v>734886.2921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70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  <c r="J194" s="68">
        <f t="shared" si="3"/>
        <v>774.35</v>
      </c>
      <c r="K194" s="6">
        <f t="shared" si="4"/>
        <v>4879.359</v>
      </c>
      <c r="L194" s="6">
        <f t="shared" si="5"/>
        <v>3415.5513</v>
      </c>
      <c r="M194" s="6">
        <f t="shared" si="6"/>
        <v>3778331.642</v>
      </c>
      <c r="N194" s="6">
        <f t="shared" si="7"/>
        <v>1133499.492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70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  <c r="J195" s="68">
        <f t="shared" si="3"/>
        <v>146.2</v>
      </c>
      <c r="K195" s="6">
        <f t="shared" si="4"/>
        <v>18256.194</v>
      </c>
      <c r="L195" s="6">
        <f t="shared" si="5"/>
        <v>12779.3358</v>
      </c>
      <c r="M195" s="6">
        <f t="shared" si="6"/>
        <v>2669055.563</v>
      </c>
      <c r="N195" s="6">
        <f t="shared" si="7"/>
        <v>800716.6688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70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  <c r="J196" s="68">
        <f t="shared" si="3"/>
        <v>561</v>
      </c>
      <c r="K196" s="6">
        <f t="shared" si="4"/>
        <v>4657.149</v>
      </c>
      <c r="L196" s="6">
        <f t="shared" si="5"/>
        <v>3260.0043</v>
      </c>
      <c r="M196" s="6">
        <f t="shared" si="6"/>
        <v>2612660.589</v>
      </c>
      <c r="N196" s="6">
        <f t="shared" si="7"/>
        <v>783798.1767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70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  <c r="J197" s="68">
        <f t="shared" si="3"/>
        <v>600.95</v>
      </c>
      <c r="K197" s="6">
        <f t="shared" si="4"/>
        <v>5096.241</v>
      </c>
      <c r="L197" s="6">
        <f t="shared" si="5"/>
        <v>3567.3687</v>
      </c>
      <c r="M197" s="6">
        <f t="shared" si="6"/>
        <v>3062586.029</v>
      </c>
      <c r="N197" s="6">
        <f t="shared" si="7"/>
        <v>918775.8087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70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  <c r="J198" s="68">
        <f t="shared" si="3"/>
        <v>572.9</v>
      </c>
      <c r="K198" s="6">
        <f t="shared" si="4"/>
        <v>1168.713</v>
      </c>
      <c r="L198" s="6">
        <f t="shared" si="5"/>
        <v>818.0991</v>
      </c>
      <c r="M198" s="6">
        <f t="shared" si="6"/>
        <v>669555.6777</v>
      </c>
      <c r="N198" s="6">
        <f t="shared" si="7"/>
        <v>200866.7033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70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  <c r="J199" s="68">
        <f t="shared" si="3"/>
        <v>931.6</v>
      </c>
      <c r="K199" s="6">
        <f t="shared" si="4"/>
        <v>4662.999</v>
      </c>
      <c r="L199" s="6">
        <f t="shared" si="5"/>
        <v>3264.0993</v>
      </c>
      <c r="M199" s="6">
        <f t="shared" si="6"/>
        <v>4344049.868</v>
      </c>
      <c r="N199" s="6">
        <f t="shared" si="7"/>
        <v>1303214.961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70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  <c r="J200" s="68">
        <f t="shared" si="3"/>
        <v>901</v>
      </c>
      <c r="K200" s="6">
        <f t="shared" si="4"/>
        <v>1152.432</v>
      </c>
      <c r="L200" s="6">
        <f t="shared" si="5"/>
        <v>806.7024</v>
      </c>
      <c r="M200" s="6">
        <f t="shared" si="6"/>
        <v>1038341.232</v>
      </c>
      <c r="N200" s="6">
        <f t="shared" si="7"/>
        <v>311502.3696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70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  <c r="J201" s="68">
        <f t="shared" si="3"/>
        <v>159.8</v>
      </c>
      <c r="K201" s="6">
        <f t="shared" si="4"/>
        <v>20019.78</v>
      </c>
      <c r="L201" s="6">
        <f t="shared" si="5"/>
        <v>14013.846</v>
      </c>
      <c r="M201" s="6">
        <f t="shared" si="6"/>
        <v>3199160.844</v>
      </c>
      <c r="N201" s="6">
        <f t="shared" si="7"/>
        <v>959748.2532</v>
      </c>
    </row>
    <row r="202" ht="15.75" customHeight="1">
      <c r="B202" s="7"/>
      <c r="F202" s="68"/>
      <c r="J202" s="68"/>
    </row>
    <row r="203" ht="15.75" customHeight="1">
      <c r="B203" s="7"/>
      <c r="F203" s="68"/>
      <c r="J203" s="68"/>
    </row>
    <row r="204" ht="15.75" customHeight="1">
      <c r="B204" s="7"/>
      <c r="F204" s="68"/>
      <c r="J204" s="68"/>
    </row>
    <row r="205" ht="15.75" customHeight="1">
      <c r="B205" s="7"/>
      <c r="F205" s="68"/>
      <c r="J205" s="68"/>
    </row>
    <row r="206" ht="15.75" customHeight="1">
      <c r="B206" s="7"/>
      <c r="F206" s="68"/>
      <c r="J206" s="68"/>
    </row>
    <row r="207" ht="15.75" customHeight="1">
      <c r="B207" s="7"/>
      <c r="F207" s="68"/>
      <c r="J207" s="68"/>
    </row>
    <row r="208" ht="15.75" customHeight="1">
      <c r="B208" s="7"/>
      <c r="F208" s="68"/>
      <c r="J208" s="68"/>
    </row>
    <row r="209" ht="15.75" customHeight="1">
      <c r="B209" s="7"/>
      <c r="F209" s="68"/>
      <c r="J209" s="68"/>
    </row>
    <row r="210" ht="15.75" customHeight="1">
      <c r="B210" s="7"/>
      <c r="F210" s="68"/>
      <c r="J210" s="68"/>
    </row>
    <row r="211" ht="15.75" customHeight="1">
      <c r="B211" s="7"/>
      <c r="F211" s="68"/>
      <c r="J211" s="68"/>
    </row>
    <row r="212" ht="15.75" customHeight="1">
      <c r="B212" s="7"/>
      <c r="F212" s="68"/>
      <c r="J212" s="68"/>
    </row>
    <row r="213" ht="15.75" customHeight="1">
      <c r="B213" s="7"/>
      <c r="F213" s="68"/>
      <c r="J213" s="68"/>
    </row>
    <row r="214" ht="15.75" customHeight="1">
      <c r="B214" s="7"/>
      <c r="F214" s="68"/>
      <c r="J214" s="68"/>
    </row>
    <row r="215" ht="15.75" customHeight="1">
      <c r="B215" s="7"/>
      <c r="F215" s="68"/>
      <c r="J215" s="68"/>
    </row>
    <row r="216" ht="15.75" customHeight="1">
      <c r="B216" s="7"/>
      <c r="F216" s="68"/>
      <c r="J216" s="68"/>
    </row>
    <row r="217" ht="15.75" customHeight="1">
      <c r="B217" s="7"/>
      <c r="F217" s="68"/>
      <c r="J217" s="68"/>
    </row>
    <row r="218" ht="15.75" customHeight="1">
      <c r="B218" s="7"/>
      <c r="F218" s="68"/>
      <c r="J218" s="68"/>
    </row>
    <row r="219" ht="15.75" customHeight="1">
      <c r="B219" s="7"/>
      <c r="F219" s="68"/>
      <c r="J219" s="68"/>
    </row>
    <row r="220" ht="15.75" customHeight="1">
      <c r="B220" s="7"/>
      <c r="F220" s="68"/>
      <c r="J220" s="68"/>
    </row>
    <row r="221" ht="15.75" customHeight="1">
      <c r="B221" s="7"/>
      <c r="F221" s="68"/>
      <c r="J221" s="68"/>
    </row>
    <row r="222" ht="15.75" customHeight="1">
      <c r="B222" s="7"/>
      <c r="F222" s="68"/>
      <c r="J222" s="68"/>
    </row>
    <row r="223" ht="15.75" customHeight="1">
      <c r="B223" s="7"/>
      <c r="F223" s="68"/>
      <c r="J223" s="68"/>
    </row>
    <row r="224" ht="15.75" customHeight="1">
      <c r="B224" s="7"/>
      <c r="F224" s="68"/>
      <c r="J224" s="68"/>
    </row>
    <row r="225" ht="15.75" customHeight="1">
      <c r="B225" s="7"/>
      <c r="F225" s="68"/>
      <c r="J225" s="68"/>
    </row>
    <row r="226" ht="15.75" customHeight="1">
      <c r="B226" s="7"/>
      <c r="F226" s="68"/>
      <c r="J226" s="68"/>
    </row>
    <row r="227" ht="15.75" customHeight="1">
      <c r="B227" s="7"/>
      <c r="F227" s="68"/>
      <c r="J227" s="68"/>
    </row>
    <row r="228" ht="15.75" customHeight="1">
      <c r="B228" s="7"/>
      <c r="F228" s="68"/>
      <c r="J228" s="68"/>
    </row>
    <row r="229" ht="15.75" customHeight="1">
      <c r="B229" s="7"/>
      <c r="F229" s="68"/>
      <c r="J229" s="68"/>
    </row>
    <row r="230" ht="15.75" customHeight="1">
      <c r="B230" s="7"/>
      <c r="F230" s="68"/>
      <c r="J230" s="68"/>
    </row>
    <row r="231" ht="15.75" customHeight="1">
      <c r="B231" s="7"/>
      <c r="F231" s="68"/>
      <c r="J231" s="68"/>
    </row>
    <row r="232" ht="15.75" customHeight="1">
      <c r="B232" s="7"/>
      <c r="F232" s="68"/>
      <c r="J232" s="68"/>
    </row>
    <row r="233" ht="15.75" customHeight="1">
      <c r="B233" s="7"/>
      <c r="F233" s="68"/>
      <c r="J233" s="68"/>
    </row>
    <row r="234" ht="15.75" customHeight="1">
      <c r="B234" s="7"/>
      <c r="F234" s="68"/>
      <c r="J234" s="68"/>
    </row>
    <row r="235" ht="15.75" customHeight="1">
      <c r="B235" s="7"/>
      <c r="F235" s="68"/>
      <c r="J235" s="68"/>
    </row>
    <row r="236" ht="15.75" customHeight="1">
      <c r="B236" s="7"/>
      <c r="F236" s="68"/>
      <c r="J236" s="68"/>
    </row>
    <row r="237" ht="15.75" customHeight="1">
      <c r="B237" s="7"/>
      <c r="F237" s="68"/>
      <c r="J237" s="68"/>
    </row>
    <row r="238" ht="15.75" customHeight="1">
      <c r="B238" s="7"/>
      <c r="F238" s="68"/>
      <c r="J238" s="68"/>
    </row>
    <row r="239" ht="15.75" customHeight="1">
      <c r="B239" s="7"/>
      <c r="F239" s="68"/>
      <c r="J239" s="68"/>
    </row>
    <row r="240" ht="15.75" customHeight="1">
      <c r="B240" s="7"/>
      <c r="F240" s="68"/>
      <c r="J240" s="68"/>
    </row>
    <row r="241" ht="15.75" customHeight="1">
      <c r="B241" s="7"/>
      <c r="F241" s="68"/>
      <c r="J241" s="68"/>
    </row>
    <row r="242" ht="15.75" customHeight="1">
      <c r="B242" s="7"/>
      <c r="F242" s="68"/>
      <c r="J242" s="68"/>
    </row>
    <row r="243" ht="15.75" customHeight="1">
      <c r="B243" s="7"/>
      <c r="F243" s="68"/>
      <c r="J243" s="68"/>
    </row>
    <row r="244" ht="15.75" customHeight="1">
      <c r="B244" s="7"/>
      <c r="F244" s="68"/>
      <c r="J244" s="68"/>
    </row>
    <row r="245" ht="15.75" customHeight="1">
      <c r="B245" s="7"/>
      <c r="F245" s="68"/>
      <c r="J245" s="68"/>
    </row>
    <row r="246" ht="15.75" customHeight="1">
      <c r="B246" s="7"/>
      <c r="F246" s="68"/>
      <c r="J246" s="68"/>
    </row>
    <row r="247" ht="15.75" customHeight="1">
      <c r="B247" s="7"/>
      <c r="F247" s="68"/>
      <c r="J247" s="68"/>
    </row>
    <row r="248" ht="15.75" customHeight="1">
      <c r="B248" s="7"/>
      <c r="F248" s="68"/>
      <c r="J248" s="68"/>
    </row>
    <row r="249" ht="15.75" customHeight="1">
      <c r="B249" s="7"/>
      <c r="F249" s="68"/>
      <c r="J249" s="68"/>
    </row>
    <row r="250" ht="15.75" customHeight="1">
      <c r="B250" s="7"/>
      <c r="F250" s="68"/>
      <c r="J250" s="68"/>
    </row>
    <row r="251" ht="15.75" customHeight="1">
      <c r="B251" s="7"/>
      <c r="F251" s="68"/>
      <c r="J251" s="68"/>
    </row>
    <row r="252" ht="15.75" customHeight="1">
      <c r="B252" s="7"/>
      <c r="F252" s="68"/>
      <c r="J252" s="68"/>
    </row>
    <row r="253" ht="15.75" customHeight="1">
      <c r="B253" s="7"/>
      <c r="F253" s="68"/>
      <c r="J253" s="68"/>
    </row>
    <row r="254" ht="15.75" customHeight="1">
      <c r="B254" s="7"/>
      <c r="F254" s="68"/>
      <c r="J254" s="68"/>
    </row>
    <row r="255" ht="15.75" customHeight="1">
      <c r="B255" s="7"/>
      <c r="F255" s="68"/>
      <c r="J255" s="68"/>
    </row>
    <row r="256" ht="15.75" customHeight="1">
      <c r="B256" s="7"/>
      <c r="F256" s="68"/>
      <c r="J256" s="68"/>
    </row>
    <row r="257" ht="15.75" customHeight="1">
      <c r="B257" s="7"/>
      <c r="F257" s="68"/>
      <c r="J257" s="68"/>
    </row>
    <row r="258" ht="15.75" customHeight="1">
      <c r="B258" s="7"/>
      <c r="F258" s="68"/>
      <c r="J258" s="68"/>
    </row>
    <row r="259" ht="15.75" customHeight="1">
      <c r="B259" s="7"/>
      <c r="F259" s="68"/>
      <c r="J259" s="68"/>
    </row>
    <row r="260" ht="15.75" customHeight="1">
      <c r="B260" s="7"/>
      <c r="F260" s="68"/>
      <c r="J260" s="68"/>
    </row>
    <row r="261" ht="15.75" customHeight="1">
      <c r="B261" s="7"/>
      <c r="F261" s="68"/>
      <c r="J261" s="68"/>
    </row>
    <row r="262" ht="15.75" customHeight="1">
      <c r="B262" s="7"/>
      <c r="F262" s="68"/>
      <c r="J262" s="68"/>
    </row>
    <row r="263" ht="15.75" customHeight="1">
      <c r="B263" s="7"/>
      <c r="F263" s="68"/>
      <c r="J263" s="68"/>
    </row>
    <row r="264" ht="15.75" customHeight="1">
      <c r="B264" s="7"/>
      <c r="F264" s="68"/>
      <c r="J264" s="68"/>
    </row>
    <row r="265" ht="15.75" customHeight="1">
      <c r="B265" s="7"/>
      <c r="F265" s="68"/>
      <c r="J265" s="68"/>
    </row>
    <row r="266" ht="15.75" customHeight="1">
      <c r="B266" s="7"/>
      <c r="F266" s="68"/>
      <c r="J266" s="68"/>
    </row>
    <row r="267" ht="15.75" customHeight="1">
      <c r="B267" s="7"/>
      <c r="F267" s="68"/>
      <c r="J267" s="68"/>
    </row>
    <row r="268" ht="15.75" customHeight="1">
      <c r="B268" s="7"/>
      <c r="F268" s="68"/>
      <c r="J268" s="68"/>
    </row>
    <row r="269" ht="15.75" customHeight="1">
      <c r="B269" s="7"/>
      <c r="F269" s="68"/>
      <c r="J269" s="68"/>
    </row>
    <row r="270" ht="15.75" customHeight="1">
      <c r="B270" s="7"/>
      <c r="F270" s="68"/>
      <c r="J270" s="68"/>
    </row>
    <row r="271" ht="15.75" customHeight="1">
      <c r="B271" s="7"/>
      <c r="F271" s="68"/>
      <c r="J271" s="68"/>
    </row>
    <row r="272" ht="15.75" customHeight="1">
      <c r="B272" s="7"/>
      <c r="F272" s="68"/>
      <c r="J272" s="68"/>
    </row>
    <row r="273" ht="15.75" customHeight="1">
      <c r="B273" s="7"/>
      <c r="F273" s="68"/>
      <c r="J273" s="68"/>
    </row>
    <row r="274" ht="15.75" customHeight="1">
      <c r="B274" s="7"/>
      <c r="F274" s="68"/>
      <c r="J274" s="68"/>
    </row>
    <row r="275" ht="15.75" customHeight="1">
      <c r="B275" s="7"/>
      <c r="F275" s="68"/>
      <c r="J275" s="68"/>
    </row>
    <row r="276" ht="15.75" customHeight="1">
      <c r="B276" s="7"/>
      <c r="F276" s="68"/>
      <c r="J276" s="68"/>
    </row>
    <row r="277" ht="15.75" customHeight="1">
      <c r="B277" s="7"/>
      <c r="F277" s="68"/>
      <c r="J277" s="68"/>
    </row>
    <row r="278" ht="15.75" customHeight="1">
      <c r="B278" s="7"/>
      <c r="F278" s="68"/>
      <c r="J278" s="68"/>
    </row>
    <row r="279" ht="15.75" customHeight="1">
      <c r="B279" s="7"/>
      <c r="F279" s="68"/>
      <c r="J279" s="68"/>
    </row>
    <row r="280" ht="15.75" customHeight="1">
      <c r="B280" s="7"/>
      <c r="F280" s="68"/>
      <c r="J280" s="68"/>
    </row>
    <row r="281" ht="15.75" customHeight="1">
      <c r="B281" s="7"/>
      <c r="F281" s="68"/>
      <c r="J281" s="68"/>
    </row>
    <row r="282" ht="15.75" customHeight="1">
      <c r="B282" s="7"/>
      <c r="F282" s="68"/>
      <c r="J282" s="68"/>
    </row>
    <row r="283" ht="15.75" customHeight="1">
      <c r="B283" s="7"/>
      <c r="F283" s="68"/>
      <c r="J283" s="68"/>
    </row>
    <row r="284" ht="15.75" customHeight="1">
      <c r="B284" s="7"/>
      <c r="F284" s="68"/>
      <c r="J284" s="68"/>
    </row>
    <row r="285" ht="15.75" customHeight="1">
      <c r="B285" s="7"/>
      <c r="F285" s="68"/>
      <c r="J285" s="68"/>
    </row>
    <row r="286" ht="15.75" customHeight="1">
      <c r="B286" s="7"/>
      <c r="F286" s="68"/>
      <c r="J286" s="68"/>
    </row>
    <row r="287" ht="15.75" customHeight="1">
      <c r="B287" s="7"/>
      <c r="F287" s="68"/>
      <c r="J287" s="68"/>
    </row>
    <row r="288" ht="15.75" customHeight="1">
      <c r="B288" s="7"/>
      <c r="F288" s="68"/>
      <c r="J288" s="68"/>
    </row>
    <row r="289" ht="15.75" customHeight="1">
      <c r="B289" s="7"/>
      <c r="F289" s="68"/>
      <c r="J289" s="68"/>
    </row>
    <row r="290" ht="15.75" customHeight="1">
      <c r="B290" s="7"/>
      <c r="F290" s="68"/>
      <c r="J290" s="68"/>
    </row>
    <row r="291" ht="15.75" customHeight="1">
      <c r="B291" s="7"/>
      <c r="F291" s="68"/>
      <c r="J291" s="68"/>
    </row>
    <row r="292" ht="15.75" customHeight="1">
      <c r="B292" s="7"/>
      <c r="F292" s="68"/>
      <c r="J292" s="68"/>
    </row>
    <row r="293" ht="15.75" customHeight="1">
      <c r="B293" s="7"/>
      <c r="F293" s="68"/>
      <c r="J293" s="68"/>
    </row>
    <row r="294" ht="15.75" customHeight="1">
      <c r="B294" s="7"/>
      <c r="F294" s="68"/>
      <c r="J294" s="68"/>
    </row>
    <row r="295" ht="15.75" customHeight="1">
      <c r="B295" s="7"/>
      <c r="F295" s="68"/>
      <c r="J295" s="68"/>
    </row>
    <row r="296" ht="15.75" customHeight="1">
      <c r="B296" s="7"/>
      <c r="F296" s="68"/>
      <c r="J296" s="68"/>
    </row>
    <row r="297" ht="15.75" customHeight="1">
      <c r="B297" s="7"/>
      <c r="F297" s="68"/>
      <c r="J297" s="68"/>
    </row>
    <row r="298" ht="15.75" customHeight="1">
      <c r="B298" s="7"/>
      <c r="F298" s="68"/>
      <c r="J298" s="68"/>
    </row>
    <row r="299" ht="15.75" customHeight="1">
      <c r="B299" s="7"/>
      <c r="F299" s="68"/>
      <c r="J299" s="68"/>
    </row>
    <row r="300" ht="15.75" customHeight="1">
      <c r="B300" s="7"/>
      <c r="F300" s="68"/>
      <c r="J300" s="68"/>
    </row>
    <row r="301" ht="15.75" customHeight="1">
      <c r="B301" s="7"/>
      <c r="F301" s="68"/>
      <c r="J301" s="68"/>
    </row>
    <row r="302" ht="15.75" customHeight="1">
      <c r="B302" s="7"/>
      <c r="F302" s="68"/>
      <c r="J302" s="68"/>
    </row>
    <row r="303" ht="15.75" customHeight="1">
      <c r="B303" s="7"/>
      <c r="F303" s="68"/>
      <c r="J303" s="68"/>
    </row>
    <row r="304" ht="15.75" customHeight="1">
      <c r="B304" s="7"/>
      <c r="F304" s="68"/>
      <c r="J304" s="68"/>
    </row>
    <row r="305" ht="15.75" customHeight="1">
      <c r="B305" s="7"/>
      <c r="F305" s="68"/>
      <c r="J305" s="68"/>
    </row>
    <row r="306" ht="15.75" customHeight="1">
      <c r="B306" s="7"/>
      <c r="F306" s="68"/>
      <c r="J306" s="68"/>
    </row>
    <row r="307" ht="15.75" customHeight="1">
      <c r="B307" s="7"/>
      <c r="F307" s="68"/>
      <c r="J307" s="68"/>
    </row>
    <row r="308" ht="15.75" customHeight="1">
      <c r="B308" s="7"/>
      <c r="F308" s="68"/>
      <c r="J308" s="68"/>
    </row>
    <row r="309" ht="15.75" customHeight="1">
      <c r="B309" s="7"/>
      <c r="F309" s="68"/>
      <c r="J309" s="68"/>
    </row>
    <row r="310" ht="15.75" customHeight="1">
      <c r="B310" s="7"/>
      <c r="F310" s="68"/>
      <c r="J310" s="68"/>
    </row>
    <row r="311" ht="15.75" customHeight="1">
      <c r="B311" s="7"/>
      <c r="F311" s="68"/>
      <c r="J311" s="68"/>
    </row>
    <row r="312" ht="15.75" customHeight="1">
      <c r="B312" s="7"/>
      <c r="F312" s="68"/>
      <c r="J312" s="68"/>
    </row>
    <row r="313" ht="15.75" customHeight="1">
      <c r="B313" s="7"/>
      <c r="F313" s="68"/>
      <c r="J313" s="68"/>
    </row>
    <row r="314" ht="15.75" customHeight="1">
      <c r="B314" s="7"/>
      <c r="F314" s="68"/>
      <c r="J314" s="68"/>
    </row>
    <row r="315" ht="15.75" customHeight="1">
      <c r="B315" s="7"/>
      <c r="F315" s="68"/>
      <c r="J315" s="68"/>
    </row>
    <row r="316" ht="15.75" customHeight="1">
      <c r="B316" s="7"/>
      <c r="F316" s="68"/>
      <c r="J316" s="68"/>
    </row>
    <row r="317" ht="15.75" customHeight="1">
      <c r="B317" s="7"/>
      <c r="F317" s="68"/>
      <c r="J317" s="68"/>
    </row>
    <row r="318" ht="15.75" customHeight="1">
      <c r="B318" s="7"/>
      <c r="F318" s="68"/>
      <c r="J318" s="68"/>
    </row>
    <row r="319" ht="15.75" customHeight="1">
      <c r="B319" s="7"/>
      <c r="F319" s="68"/>
      <c r="J319" s="68"/>
    </row>
    <row r="320" ht="15.75" customHeight="1">
      <c r="B320" s="7"/>
      <c r="F320" s="68"/>
      <c r="J320" s="68"/>
    </row>
    <row r="321" ht="15.75" customHeight="1">
      <c r="B321" s="7"/>
      <c r="F321" s="68"/>
      <c r="J321" s="68"/>
    </row>
    <row r="322" ht="15.75" customHeight="1">
      <c r="B322" s="7"/>
      <c r="F322" s="68"/>
      <c r="J322" s="68"/>
    </row>
    <row r="323" ht="15.75" customHeight="1">
      <c r="B323" s="7"/>
      <c r="F323" s="68"/>
      <c r="J323" s="68"/>
    </row>
    <row r="324" ht="15.75" customHeight="1">
      <c r="B324" s="7"/>
      <c r="F324" s="68"/>
      <c r="J324" s="68"/>
    </row>
    <row r="325" ht="15.75" customHeight="1">
      <c r="B325" s="7"/>
      <c r="F325" s="68"/>
      <c r="J325" s="68"/>
    </row>
    <row r="326" ht="15.75" customHeight="1">
      <c r="B326" s="7"/>
      <c r="F326" s="68"/>
      <c r="J326" s="68"/>
    </row>
    <row r="327" ht="15.75" customHeight="1">
      <c r="B327" s="7"/>
      <c r="F327" s="68"/>
      <c r="J327" s="68"/>
    </row>
    <row r="328" ht="15.75" customHeight="1">
      <c r="B328" s="7"/>
      <c r="F328" s="68"/>
      <c r="J328" s="68"/>
    </row>
    <row r="329" ht="15.75" customHeight="1">
      <c r="B329" s="7"/>
      <c r="F329" s="68"/>
      <c r="J329" s="68"/>
    </row>
    <row r="330" ht="15.75" customHeight="1">
      <c r="B330" s="7"/>
      <c r="F330" s="68"/>
      <c r="J330" s="68"/>
    </row>
    <row r="331" ht="15.75" customHeight="1">
      <c r="B331" s="7"/>
      <c r="F331" s="68"/>
      <c r="J331" s="68"/>
    </row>
    <row r="332" ht="15.75" customHeight="1">
      <c r="B332" s="7"/>
      <c r="F332" s="68"/>
      <c r="J332" s="68"/>
    </row>
    <row r="333" ht="15.75" customHeight="1">
      <c r="B333" s="7"/>
      <c r="F333" s="68"/>
      <c r="J333" s="68"/>
    </row>
    <row r="334" ht="15.75" customHeight="1">
      <c r="B334" s="7"/>
      <c r="F334" s="68"/>
      <c r="J334" s="68"/>
    </row>
    <row r="335" ht="15.75" customHeight="1">
      <c r="B335" s="7"/>
      <c r="F335" s="68"/>
      <c r="J335" s="68"/>
    </row>
    <row r="336" ht="15.75" customHeight="1">
      <c r="B336" s="7"/>
      <c r="F336" s="68"/>
      <c r="J336" s="68"/>
    </row>
    <row r="337" ht="15.75" customHeight="1">
      <c r="B337" s="7"/>
      <c r="F337" s="68"/>
      <c r="J337" s="68"/>
    </row>
    <row r="338" ht="15.75" customHeight="1">
      <c r="B338" s="7"/>
      <c r="F338" s="68"/>
      <c r="J338" s="68"/>
    </row>
    <row r="339" ht="15.75" customHeight="1">
      <c r="B339" s="7"/>
      <c r="F339" s="68"/>
      <c r="J339" s="68"/>
    </row>
    <row r="340" ht="15.75" customHeight="1">
      <c r="B340" s="7"/>
      <c r="F340" s="68"/>
      <c r="J340" s="68"/>
    </row>
    <row r="341" ht="15.75" customHeight="1">
      <c r="B341" s="7"/>
      <c r="F341" s="68"/>
      <c r="J341" s="68"/>
    </row>
    <row r="342" ht="15.75" customHeight="1">
      <c r="B342" s="7"/>
      <c r="F342" s="68"/>
      <c r="J342" s="68"/>
    </row>
    <row r="343" ht="15.75" customHeight="1">
      <c r="B343" s="7"/>
      <c r="F343" s="68"/>
      <c r="J343" s="68"/>
    </row>
    <row r="344" ht="15.75" customHeight="1">
      <c r="B344" s="7"/>
      <c r="F344" s="68"/>
      <c r="J344" s="68"/>
    </row>
    <row r="345" ht="15.75" customHeight="1">
      <c r="B345" s="7"/>
      <c r="F345" s="68"/>
      <c r="J345" s="68"/>
    </row>
    <row r="346" ht="15.75" customHeight="1">
      <c r="B346" s="7"/>
      <c r="F346" s="68"/>
      <c r="J346" s="68"/>
    </row>
    <row r="347" ht="15.75" customHeight="1">
      <c r="B347" s="7"/>
      <c r="F347" s="68"/>
      <c r="J347" s="68"/>
    </row>
    <row r="348" ht="15.75" customHeight="1">
      <c r="B348" s="7"/>
      <c r="F348" s="68"/>
      <c r="J348" s="68"/>
    </row>
    <row r="349" ht="15.75" customHeight="1">
      <c r="B349" s="7"/>
      <c r="F349" s="68"/>
      <c r="J349" s="68"/>
    </row>
    <row r="350" ht="15.75" customHeight="1">
      <c r="B350" s="7"/>
      <c r="F350" s="68"/>
      <c r="J350" s="68"/>
    </row>
    <row r="351" ht="15.75" customHeight="1">
      <c r="B351" s="7"/>
      <c r="F351" s="68"/>
      <c r="J351" s="68"/>
    </row>
    <row r="352" ht="15.75" customHeight="1">
      <c r="B352" s="7"/>
      <c r="F352" s="68"/>
      <c r="J352" s="68"/>
    </row>
    <row r="353" ht="15.75" customHeight="1">
      <c r="B353" s="7"/>
      <c r="F353" s="68"/>
      <c r="J353" s="68"/>
    </row>
    <row r="354" ht="15.75" customHeight="1">
      <c r="B354" s="7"/>
      <c r="F354" s="68"/>
      <c r="J354" s="68"/>
    </row>
    <row r="355" ht="15.75" customHeight="1">
      <c r="B355" s="7"/>
      <c r="F355" s="68"/>
      <c r="J355" s="68"/>
    </row>
    <row r="356" ht="15.75" customHeight="1">
      <c r="B356" s="7"/>
      <c r="F356" s="68"/>
      <c r="J356" s="68"/>
    </row>
    <row r="357" ht="15.75" customHeight="1">
      <c r="B357" s="7"/>
      <c r="F357" s="68"/>
      <c r="J357" s="68"/>
    </row>
    <row r="358" ht="15.75" customHeight="1">
      <c r="B358" s="7"/>
      <c r="F358" s="68"/>
      <c r="J358" s="68"/>
    </row>
    <row r="359" ht="15.75" customHeight="1">
      <c r="B359" s="7"/>
      <c r="F359" s="68"/>
      <c r="J359" s="68"/>
    </row>
    <row r="360" ht="15.75" customHeight="1">
      <c r="B360" s="7"/>
      <c r="F360" s="68"/>
      <c r="J360" s="68"/>
    </row>
    <row r="361" ht="15.75" customHeight="1">
      <c r="B361" s="7"/>
      <c r="F361" s="68"/>
      <c r="J361" s="68"/>
    </row>
    <row r="362" ht="15.75" customHeight="1">
      <c r="B362" s="7"/>
      <c r="F362" s="68"/>
      <c r="J362" s="68"/>
    </row>
    <row r="363" ht="15.75" customHeight="1">
      <c r="B363" s="7"/>
      <c r="F363" s="68"/>
      <c r="J363" s="68"/>
    </row>
    <row r="364" ht="15.75" customHeight="1">
      <c r="B364" s="7"/>
      <c r="F364" s="68"/>
      <c r="J364" s="68"/>
    </row>
    <row r="365" ht="15.75" customHeight="1">
      <c r="B365" s="7"/>
      <c r="F365" s="68"/>
      <c r="J365" s="68"/>
    </row>
    <row r="366" ht="15.75" customHeight="1">
      <c r="B366" s="7"/>
      <c r="F366" s="68"/>
      <c r="J366" s="68"/>
    </row>
    <row r="367" ht="15.75" customHeight="1">
      <c r="B367" s="7"/>
      <c r="F367" s="68"/>
      <c r="J367" s="68"/>
    </row>
    <row r="368" ht="15.75" customHeight="1">
      <c r="B368" s="7"/>
      <c r="F368" s="68"/>
      <c r="J368" s="68"/>
    </row>
    <row r="369" ht="15.75" customHeight="1">
      <c r="B369" s="7"/>
      <c r="F369" s="68"/>
      <c r="J369" s="68"/>
    </row>
    <row r="370" ht="15.75" customHeight="1">
      <c r="B370" s="7"/>
      <c r="F370" s="68"/>
      <c r="J370" s="68"/>
    </row>
    <row r="371" ht="15.75" customHeight="1">
      <c r="B371" s="7"/>
      <c r="F371" s="68"/>
      <c r="J371" s="68"/>
    </row>
    <row r="372" ht="15.75" customHeight="1">
      <c r="B372" s="7"/>
      <c r="F372" s="68"/>
      <c r="J372" s="68"/>
    </row>
    <row r="373" ht="15.75" customHeight="1">
      <c r="B373" s="7"/>
      <c r="F373" s="68"/>
      <c r="J373" s="68"/>
    </row>
    <row r="374" ht="15.75" customHeight="1">
      <c r="B374" s="7"/>
      <c r="F374" s="68"/>
      <c r="J374" s="68"/>
    </row>
    <row r="375" ht="15.75" customHeight="1">
      <c r="B375" s="7"/>
      <c r="F375" s="68"/>
      <c r="J375" s="68"/>
    </row>
    <row r="376" ht="15.75" customHeight="1">
      <c r="B376" s="7"/>
      <c r="F376" s="68"/>
      <c r="J376" s="68"/>
    </row>
    <row r="377" ht="15.75" customHeight="1">
      <c r="B377" s="7"/>
      <c r="F377" s="68"/>
      <c r="J377" s="68"/>
    </row>
    <row r="378" ht="15.75" customHeight="1">
      <c r="B378" s="7"/>
      <c r="F378" s="68"/>
      <c r="J378" s="68"/>
    </row>
    <row r="379" ht="15.75" customHeight="1">
      <c r="B379" s="7"/>
      <c r="F379" s="68"/>
      <c r="J379" s="68"/>
    </row>
    <row r="380" ht="15.75" customHeight="1">
      <c r="B380" s="7"/>
      <c r="F380" s="68"/>
      <c r="J380" s="68"/>
    </row>
    <row r="381" ht="15.75" customHeight="1">
      <c r="B381" s="7"/>
      <c r="F381" s="68"/>
      <c r="J381" s="68"/>
    </row>
    <row r="382" ht="15.75" customHeight="1">
      <c r="B382" s="7"/>
      <c r="F382" s="68"/>
      <c r="J382" s="68"/>
    </row>
    <row r="383" ht="15.75" customHeight="1">
      <c r="B383" s="7"/>
      <c r="F383" s="68"/>
      <c r="J383" s="68"/>
    </row>
    <row r="384" ht="15.75" customHeight="1">
      <c r="B384" s="7"/>
      <c r="F384" s="68"/>
      <c r="J384" s="68"/>
    </row>
    <row r="385" ht="15.75" customHeight="1">
      <c r="B385" s="7"/>
      <c r="F385" s="68"/>
      <c r="J385" s="68"/>
    </row>
    <row r="386" ht="15.75" customHeight="1">
      <c r="B386" s="7"/>
      <c r="F386" s="68"/>
      <c r="J386" s="68"/>
    </row>
    <row r="387" ht="15.75" customHeight="1">
      <c r="B387" s="7"/>
      <c r="F387" s="68"/>
      <c r="J387" s="68"/>
    </row>
    <row r="388" ht="15.75" customHeight="1">
      <c r="B388" s="7"/>
      <c r="F388" s="68"/>
      <c r="J388" s="68"/>
    </row>
    <row r="389" ht="15.75" customHeight="1">
      <c r="B389" s="7"/>
      <c r="F389" s="68"/>
      <c r="J389" s="68"/>
    </row>
    <row r="390" ht="15.75" customHeight="1">
      <c r="B390" s="7"/>
      <c r="F390" s="68"/>
      <c r="J390" s="68"/>
    </row>
    <row r="391" ht="15.75" customHeight="1">
      <c r="B391" s="7"/>
      <c r="F391" s="68"/>
      <c r="J391" s="68"/>
    </row>
    <row r="392" ht="15.75" customHeight="1">
      <c r="B392" s="7"/>
      <c r="F392" s="68"/>
      <c r="J392" s="68"/>
    </row>
    <row r="393" ht="15.75" customHeight="1">
      <c r="B393" s="7"/>
      <c r="F393" s="68"/>
      <c r="J393" s="68"/>
    </row>
    <row r="394" ht="15.75" customHeight="1">
      <c r="B394" s="7"/>
      <c r="F394" s="68"/>
      <c r="J394" s="68"/>
    </row>
    <row r="395" ht="15.75" customHeight="1">
      <c r="B395" s="7"/>
      <c r="F395" s="68"/>
      <c r="J395" s="68"/>
    </row>
    <row r="396" ht="15.75" customHeight="1">
      <c r="B396" s="7"/>
      <c r="F396" s="68"/>
      <c r="J396" s="68"/>
    </row>
    <row r="397" ht="15.75" customHeight="1">
      <c r="B397" s="7"/>
      <c r="F397" s="68"/>
      <c r="J397" s="68"/>
    </row>
    <row r="398" ht="15.75" customHeight="1">
      <c r="B398" s="7"/>
      <c r="F398" s="68"/>
      <c r="J398" s="68"/>
    </row>
    <row r="399" ht="15.75" customHeight="1">
      <c r="B399" s="7"/>
      <c r="F399" s="68"/>
      <c r="J399" s="68"/>
    </row>
    <row r="400" ht="15.75" customHeight="1">
      <c r="B400" s="7"/>
      <c r="F400" s="68"/>
      <c r="J400" s="68"/>
    </row>
    <row r="401" ht="15.75" customHeight="1">
      <c r="B401" s="7"/>
      <c r="F401" s="68"/>
      <c r="J401" s="68"/>
    </row>
    <row r="402" ht="15.75" customHeight="1">
      <c r="B402" s="7"/>
      <c r="F402" s="68"/>
      <c r="J402" s="68"/>
    </row>
    <row r="403" ht="15.75" customHeight="1">
      <c r="B403" s="7"/>
      <c r="F403" s="68"/>
      <c r="J403" s="68"/>
    </row>
    <row r="404" ht="15.75" customHeight="1">
      <c r="B404" s="7"/>
      <c r="F404" s="68"/>
      <c r="J404" s="68"/>
    </row>
    <row r="405" ht="15.75" customHeight="1">
      <c r="B405" s="7"/>
      <c r="F405" s="68"/>
      <c r="J405" s="68"/>
    </row>
    <row r="406" ht="15.75" customHeight="1">
      <c r="B406" s="7"/>
      <c r="F406" s="68"/>
      <c r="J406" s="68"/>
    </row>
    <row r="407" ht="15.75" customHeight="1">
      <c r="B407" s="7"/>
      <c r="F407" s="68"/>
      <c r="J407" s="68"/>
    </row>
    <row r="408" ht="15.75" customHeight="1">
      <c r="B408" s="7"/>
      <c r="F408" s="68"/>
      <c r="J408" s="68"/>
    </row>
    <row r="409" ht="15.75" customHeight="1">
      <c r="B409" s="7"/>
      <c r="F409" s="68"/>
      <c r="J409" s="68"/>
    </row>
    <row r="410" ht="15.75" customHeight="1">
      <c r="B410" s="7"/>
      <c r="F410" s="68"/>
      <c r="J410" s="68"/>
    </row>
    <row r="411" ht="15.75" customHeight="1">
      <c r="B411" s="7"/>
      <c r="F411" s="68"/>
      <c r="J411" s="68"/>
    </row>
    <row r="412" ht="15.75" customHeight="1">
      <c r="B412" s="7"/>
      <c r="F412" s="68"/>
      <c r="J412" s="68"/>
    </row>
    <row r="413" ht="15.75" customHeight="1">
      <c r="B413" s="7"/>
      <c r="F413" s="68"/>
      <c r="J413" s="68"/>
    </row>
    <row r="414" ht="15.75" customHeight="1">
      <c r="B414" s="7"/>
      <c r="F414" s="68"/>
      <c r="J414" s="68"/>
    </row>
    <row r="415" ht="15.75" customHeight="1">
      <c r="B415" s="7"/>
      <c r="F415" s="68"/>
      <c r="J415" s="68"/>
    </row>
    <row r="416" ht="15.75" customHeight="1">
      <c r="B416" s="7"/>
      <c r="F416" s="68"/>
      <c r="J416" s="68"/>
    </row>
    <row r="417" ht="15.75" customHeight="1">
      <c r="B417" s="7"/>
      <c r="F417" s="68"/>
      <c r="J417" s="68"/>
    </row>
    <row r="418" ht="15.75" customHeight="1">
      <c r="B418" s="7"/>
      <c r="F418" s="68"/>
      <c r="J418" s="68"/>
    </row>
    <row r="419" ht="15.75" customHeight="1">
      <c r="B419" s="7"/>
      <c r="F419" s="68"/>
      <c r="J419" s="68"/>
    </row>
    <row r="420" ht="15.75" customHeight="1">
      <c r="B420" s="7"/>
      <c r="F420" s="68"/>
      <c r="J420" s="68"/>
    </row>
    <row r="421" ht="15.75" customHeight="1">
      <c r="B421" s="7"/>
      <c r="F421" s="68"/>
      <c r="J421" s="68"/>
    </row>
    <row r="422" ht="15.75" customHeight="1">
      <c r="B422" s="7"/>
      <c r="F422" s="68"/>
      <c r="J422" s="68"/>
    </row>
    <row r="423" ht="15.75" customHeight="1">
      <c r="B423" s="7"/>
      <c r="F423" s="68"/>
      <c r="J423" s="68"/>
    </row>
    <row r="424" ht="15.75" customHeight="1">
      <c r="B424" s="7"/>
      <c r="F424" s="68"/>
      <c r="J424" s="68"/>
    </row>
    <row r="425" ht="15.75" customHeight="1">
      <c r="B425" s="7"/>
      <c r="F425" s="68"/>
      <c r="J425" s="68"/>
    </row>
    <row r="426" ht="15.75" customHeight="1">
      <c r="B426" s="7"/>
      <c r="F426" s="68"/>
      <c r="J426" s="68"/>
    </row>
    <row r="427" ht="15.75" customHeight="1">
      <c r="B427" s="7"/>
      <c r="F427" s="68"/>
      <c r="J427" s="68"/>
    </row>
    <row r="428" ht="15.75" customHeight="1">
      <c r="B428" s="7"/>
      <c r="F428" s="68"/>
      <c r="J428" s="68"/>
    </row>
    <row r="429" ht="15.75" customHeight="1">
      <c r="B429" s="7"/>
      <c r="F429" s="68"/>
      <c r="J429" s="68"/>
    </row>
    <row r="430" ht="15.75" customHeight="1">
      <c r="B430" s="7"/>
      <c r="F430" s="68"/>
      <c r="J430" s="68"/>
    </row>
    <row r="431" ht="15.75" customHeight="1">
      <c r="B431" s="7"/>
      <c r="F431" s="68"/>
      <c r="J431" s="68"/>
    </row>
    <row r="432" ht="15.75" customHeight="1">
      <c r="B432" s="7"/>
      <c r="F432" s="68"/>
      <c r="J432" s="68"/>
    </row>
    <row r="433" ht="15.75" customHeight="1">
      <c r="B433" s="7"/>
      <c r="F433" s="68"/>
      <c r="J433" s="68"/>
    </row>
    <row r="434" ht="15.75" customHeight="1">
      <c r="B434" s="7"/>
      <c r="F434" s="68"/>
      <c r="J434" s="68"/>
    </row>
    <row r="435" ht="15.75" customHeight="1">
      <c r="B435" s="7"/>
      <c r="F435" s="68"/>
      <c r="J435" s="68"/>
    </row>
    <row r="436" ht="15.75" customHeight="1">
      <c r="B436" s="7"/>
      <c r="F436" s="68"/>
      <c r="J436" s="68"/>
    </row>
    <row r="437" ht="15.75" customHeight="1">
      <c r="B437" s="7"/>
      <c r="F437" s="68"/>
      <c r="J437" s="68"/>
    </row>
    <row r="438" ht="15.75" customHeight="1">
      <c r="B438" s="7"/>
      <c r="F438" s="68"/>
      <c r="J438" s="68"/>
    </row>
    <row r="439" ht="15.75" customHeight="1">
      <c r="B439" s="7"/>
      <c r="F439" s="68"/>
      <c r="J439" s="68"/>
    </row>
    <row r="440" ht="15.75" customHeight="1">
      <c r="B440" s="7"/>
      <c r="F440" s="68"/>
      <c r="J440" s="68"/>
    </row>
    <row r="441" ht="15.75" customHeight="1">
      <c r="B441" s="7"/>
      <c r="F441" s="68"/>
      <c r="J441" s="68"/>
    </row>
    <row r="442" ht="15.75" customHeight="1">
      <c r="B442" s="7"/>
      <c r="F442" s="68"/>
      <c r="J442" s="68"/>
    </row>
    <row r="443" ht="15.75" customHeight="1">
      <c r="B443" s="7"/>
      <c r="F443" s="68"/>
      <c r="J443" s="68"/>
    </row>
    <row r="444" ht="15.75" customHeight="1">
      <c r="B444" s="7"/>
      <c r="F444" s="68"/>
      <c r="J444" s="68"/>
    </row>
    <row r="445" ht="15.75" customHeight="1">
      <c r="B445" s="7"/>
      <c r="F445" s="68"/>
      <c r="J445" s="68"/>
    </row>
    <row r="446" ht="15.75" customHeight="1">
      <c r="B446" s="7"/>
      <c r="F446" s="68"/>
      <c r="J446" s="68"/>
    </row>
    <row r="447" ht="15.75" customHeight="1">
      <c r="B447" s="7"/>
      <c r="F447" s="68"/>
      <c r="J447" s="68"/>
    </row>
    <row r="448" ht="15.75" customHeight="1">
      <c r="B448" s="7"/>
      <c r="F448" s="68"/>
      <c r="J448" s="68"/>
    </row>
    <row r="449" ht="15.75" customHeight="1">
      <c r="B449" s="7"/>
      <c r="F449" s="68"/>
      <c r="J449" s="68"/>
    </row>
    <row r="450" ht="15.75" customHeight="1">
      <c r="B450" s="7"/>
      <c r="F450" s="68"/>
      <c r="J450" s="68"/>
    </row>
    <row r="451" ht="15.75" customHeight="1">
      <c r="B451" s="7"/>
      <c r="F451" s="68"/>
      <c r="J451" s="68"/>
    </row>
    <row r="452" ht="15.75" customHeight="1">
      <c r="B452" s="7"/>
      <c r="F452" s="68"/>
      <c r="J452" s="68"/>
    </row>
    <row r="453" ht="15.75" customHeight="1">
      <c r="B453" s="7"/>
      <c r="F453" s="68"/>
      <c r="J453" s="68"/>
    </row>
    <row r="454" ht="15.75" customHeight="1">
      <c r="B454" s="7"/>
      <c r="F454" s="68"/>
      <c r="J454" s="68"/>
    </row>
    <row r="455" ht="15.75" customHeight="1">
      <c r="B455" s="7"/>
      <c r="F455" s="68"/>
      <c r="J455" s="68"/>
    </row>
    <row r="456" ht="15.75" customHeight="1">
      <c r="B456" s="7"/>
      <c r="F456" s="68"/>
      <c r="J456" s="68"/>
    </row>
    <row r="457" ht="15.75" customHeight="1">
      <c r="B457" s="7"/>
      <c r="F457" s="68"/>
      <c r="J457" s="68"/>
    </row>
    <row r="458" ht="15.75" customHeight="1">
      <c r="B458" s="7"/>
      <c r="F458" s="68"/>
      <c r="J458" s="68"/>
    </row>
    <row r="459" ht="15.75" customHeight="1">
      <c r="B459" s="7"/>
      <c r="F459" s="68"/>
      <c r="J459" s="68"/>
    </row>
    <row r="460" ht="15.75" customHeight="1">
      <c r="B460" s="7"/>
      <c r="F460" s="68"/>
      <c r="J460" s="68"/>
    </row>
    <row r="461" ht="15.75" customHeight="1">
      <c r="B461" s="7"/>
      <c r="F461" s="68"/>
      <c r="J461" s="68"/>
    </row>
    <row r="462" ht="15.75" customHeight="1">
      <c r="B462" s="7"/>
      <c r="F462" s="68"/>
      <c r="J462" s="68"/>
    </row>
    <row r="463" ht="15.75" customHeight="1">
      <c r="B463" s="7"/>
      <c r="F463" s="68"/>
      <c r="J463" s="68"/>
    </row>
    <row r="464" ht="15.75" customHeight="1">
      <c r="B464" s="7"/>
      <c r="F464" s="68"/>
      <c r="J464" s="68"/>
    </row>
    <row r="465" ht="15.75" customHeight="1">
      <c r="B465" s="7"/>
      <c r="F465" s="68"/>
      <c r="J465" s="68"/>
    </row>
    <row r="466" ht="15.75" customHeight="1">
      <c r="B466" s="7"/>
      <c r="F466" s="68"/>
      <c r="J466" s="68"/>
    </row>
    <row r="467" ht="15.75" customHeight="1">
      <c r="B467" s="7"/>
      <c r="F467" s="68"/>
      <c r="J467" s="68"/>
    </row>
    <row r="468" ht="15.75" customHeight="1">
      <c r="B468" s="7"/>
      <c r="F468" s="68"/>
      <c r="J468" s="68"/>
    </row>
    <row r="469" ht="15.75" customHeight="1">
      <c r="B469" s="7"/>
      <c r="F469" s="68"/>
      <c r="J469" s="68"/>
    </row>
    <row r="470" ht="15.75" customHeight="1">
      <c r="B470" s="7"/>
      <c r="F470" s="68"/>
      <c r="J470" s="68"/>
    </row>
    <row r="471" ht="15.75" customHeight="1">
      <c r="B471" s="7"/>
      <c r="F471" s="68"/>
      <c r="J471" s="68"/>
    </row>
    <row r="472" ht="15.75" customHeight="1">
      <c r="B472" s="7"/>
      <c r="F472" s="68"/>
      <c r="J472" s="68"/>
    </row>
    <row r="473" ht="15.75" customHeight="1">
      <c r="B473" s="7"/>
      <c r="F473" s="68"/>
      <c r="J473" s="68"/>
    </row>
    <row r="474" ht="15.75" customHeight="1">
      <c r="B474" s="7"/>
      <c r="F474" s="68"/>
      <c r="J474" s="68"/>
    </row>
    <row r="475" ht="15.75" customHeight="1">
      <c r="B475" s="7"/>
      <c r="F475" s="68"/>
      <c r="J475" s="68"/>
    </row>
    <row r="476" ht="15.75" customHeight="1">
      <c r="B476" s="7"/>
      <c r="F476" s="68"/>
      <c r="J476" s="68"/>
    </row>
    <row r="477" ht="15.75" customHeight="1">
      <c r="B477" s="7"/>
      <c r="F477" s="68"/>
      <c r="J477" s="68"/>
    </row>
    <row r="478" ht="15.75" customHeight="1">
      <c r="B478" s="7"/>
      <c r="F478" s="68"/>
      <c r="J478" s="68"/>
    </row>
    <row r="479" ht="15.75" customHeight="1">
      <c r="B479" s="7"/>
      <c r="F479" s="68"/>
      <c r="J479" s="68"/>
    </row>
    <row r="480" ht="15.75" customHeight="1">
      <c r="B480" s="7"/>
      <c r="F480" s="68"/>
      <c r="J480" s="68"/>
    </row>
    <row r="481" ht="15.75" customHeight="1">
      <c r="B481" s="7"/>
      <c r="F481" s="68"/>
      <c r="J481" s="68"/>
    </row>
    <row r="482" ht="15.75" customHeight="1">
      <c r="B482" s="7"/>
      <c r="F482" s="68"/>
      <c r="J482" s="68"/>
    </row>
    <row r="483" ht="15.75" customHeight="1">
      <c r="B483" s="7"/>
      <c r="F483" s="68"/>
      <c r="J483" s="68"/>
    </row>
    <row r="484" ht="15.75" customHeight="1">
      <c r="B484" s="7"/>
      <c r="F484" s="68"/>
      <c r="J484" s="68"/>
    </row>
    <row r="485" ht="15.75" customHeight="1">
      <c r="B485" s="7"/>
      <c r="F485" s="68"/>
      <c r="J485" s="68"/>
    </row>
    <row r="486" ht="15.75" customHeight="1">
      <c r="B486" s="7"/>
      <c r="F486" s="68"/>
      <c r="J486" s="68"/>
    </row>
    <row r="487" ht="15.75" customHeight="1">
      <c r="B487" s="7"/>
      <c r="F487" s="68"/>
      <c r="J487" s="68"/>
    </row>
    <row r="488" ht="15.75" customHeight="1">
      <c r="B488" s="7"/>
      <c r="F488" s="68"/>
      <c r="J488" s="68"/>
    </row>
    <row r="489" ht="15.75" customHeight="1">
      <c r="B489" s="7"/>
      <c r="F489" s="68"/>
      <c r="J489" s="68"/>
    </row>
    <row r="490" ht="15.75" customHeight="1">
      <c r="B490" s="7"/>
      <c r="F490" s="68"/>
      <c r="J490" s="68"/>
    </row>
    <row r="491" ht="15.75" customHeight="1">
      <c r="B491" s="7"/>
      <c r="F491" s="68"/>
      <c r="J491" s="68"/>
    </row>
    <row r="492" ht="15.75" customHeight="1">
      <c r="B492" s="7"/>
      <c r="F492" s="68"/>
      <c r="J492" s="68"/>
    </row>
    <row r="493" ht="15.75" customHeight="1">
      <c r="B493" s="7"/>
      <c r="F493" s="68"/>
      <c r="J493" s="68"/>
    </row>
    <row r="494" ht="15.75" customHeight="1">
      <c r="B494" s="7"/>
      <c r="F494" s="68"/>
      <c r="J494" s="68"/>
    </row>
    <row r="495" ht="15.75" customHeight="1">
      <c r="B495" s="7"/>
      <c r="F495" s="68"/>
      <c r="J495" s="68"/>
    </row>
    <row r="496" ht="15.75" customHeight="1">
      <c r="B496" s="7"/>
      <c r="F496" s="68"/>
      <c r="J496" s="68"/>
    </row>
    <row r="497" ht="15.75" customHeight="1">
      <c r="B497" s="7"/>
      <c r="F497" s="68"/>
      <c r="J497" s="68"/>
    </row>
    <row r="498" ht="15.75" customHeight="1">
      <c r="B498" s="7"/>
      <c r="F498" s="68"/>
      <c r="J498" s="68"/>
    </row>
    <row r="499" ht="15.75" customHeight="1">
      <c r="B499" s="7"/>
      <c r="F499" s="68"/>
      <c r="J499" s="68"/>
    </row>
    <row r="500" ht="15.75" customHeight="1">
      <c r="B500" s="7"/>
      <c r="F500" s="68"/>
      <c r="J500" s="68"/>
    </row>
    <row r="501" ht="15.75" customHeight="1">
      <c r="B501" s="7"/>
      <c r="F501" s="68"/>
      <c r="J501" s="68"/>
    </row>
    <row r="502" ht="15.75" customHeight="1">
      <c r="B502" s="7"/>
      <c r="F502" s="68"/>
      <c r="J502" s="68"/>
    </row>
    <row r="503" ht="15.75" customHeight="1">
      <c r="B503" s="7"/>
      <c r="F503" s="68"/>
      <c r="J503" s="68"/>
    </row>
    <row r="504" ht="15.75" customHeight="1">
      <c r="B504" s="7"/>
      <c r="F504" s="68"/>
      <c r="J504" s="68"/>
    </row>
    <row r="505" ht="15.75" customHeight="1">
      <c r="B505" s="7"/>
      <c r="F505" s="68"/>
      <c r="J505" s="68"/>
    </row>
    <row r="506" ht="15.75" customHeight="1">
      <c r="B506" s="7"/>
      <c r="F506" s="68"/>
      <c r="J506" s="68"/>
    </row>
    <row r="507" ht="15.75" customHeight="1">
      <c r="B507" s="7"/>
      <c r="F507" s="68"/>
      <c r="J507" s="68"/>
    </row>
    <row r="508" ht="15.75" customHeight="1">
      <c r="B508" s="7"/>
      <c r="F508" s="68"/>
      <c r="J508" s="68"/>
    </row>
    <row r="509" ht="15.75" customHeight="1">
      <c r="B509" s="7"/>
      <c r="F509" s="68"/>
      <c r="J509" s="68"/>
    </row>
    <row r="510" ht="15.75" customHeight="1">
      <c r="B510" s="7"/>
      <c r="F510" s="68"/>
      <c r="J510" s="68"/>
    </row>
    <row r="511" ht="15.75" customHeight="1">
      <c r="B511" s="7"/>
      <c r="F511" s="68"/>
      <c r="J511" s="68"/>
    </row>
    <row r="512" ht="15.75" customHeight="1">
      <c r="B512" s="7"/>
      <c r="F512" s="68"/>
      <c r="J512" s="68"/>
    </row>
    <row r="513" ht="15.75" customHeight="1">
      <c r="B513" s="7"/>
      <c r="F513" s="68"/>
      <c r="J513" s="68"/>
    </row>
    <row r="514" ht="15.75" customHeight="1">
      <c r="B514" s="7"/>
      <c r="F514" s="68"/>
      <c r="J514" s="68"/>
    </row>
    <row r="515" ht="15.75" customHeight="1">
      <c r="B515" s="7"/>
      <c r="F515" s="68"/>
      <c r="J515" s="68"/>
    </row>
    <row r="516" ht="15.75" customHeight="1">
      <c r="B516" s="7"/>
      <c r="F516" s="68"/>
      <c r="J516" s="68"/>
    </row>
    <row r="517" ht="15.75" customHeight="1">
      <c r="B517" s="7"/>
      <c r="F517" s="68"/>
      <c r="J517" s="68"/>
    </row>
    <row r="518" ht="15.75" customHeight="1">
      <c r="B518" s="7"/>
      <c r="F518" s="68"/>
      <c r="J518" s="68"/>
    </row>
    <row r="519" ht="15.75" customHeight="1">
      <c r="B519" s="7"/>
      <c r="F519" s="68"/>
      <c r="J519" s="68"/>
    </row>
    <row r="520" ht="15.75" customHeight="1">
      <c r="B520" s="7"/>
      <c r="F520" s="68"/>
      <c r="J520" s="68"/>
    </row>
    <row r="521" ht="15.75" customHeight="1">
      <c r="B521" s="7"/>
      <c r="F521" s="68"/>
      <c r="J521" s="68"/>
    </row>
    <row r="522" ht="15.75" customHeight="1">
      <c r="B522" s="7"/>
      <c r="F522" s="68"/>
      <c r="J522" s="68"/>
    </row>
    <row r="523" ht="15.75" customHeight="1">
      <c r="B523" s="7"/>
      <c r="F523" s="68"/>
      <c r="J523" s="68"/>
    </row>
    <row r="524" ht="15.75" customHeight="1">
      <c r="B524" s="7"/>
      <c r="F524" s="68"/>
      <c r="J524" s="68"/>
    </row>
    <row r="525" ht="15.75" customHeight="1">
      <c r="B525" s="7"/>
      <c r="F525" s="68"/>
      <c r="J525" s="68"/>
    </row>
    <row r="526" ht="15.75" customHeight="1">
      <c r="B526" s="7"/>
      <c r="F526" s="68"/>
      <c r="J526" s="68"/>
    </row>
    <row r="527" ht="15.75" customHeight="1">
      <c r="B527" s="7"/>
      <c r="F527" s="68"/>
      <c r="J527" s="68"/>
    </row>
    <row r="528" ht="15.75" customHeight="1">
      <c r="B528" s="7"/>
      <c r="F528" s="68"/>
      <c r="J528" s="68"/>
    </row>
    <row r="529" ht="15.75" customHeight="1">
      <c r="B529" s="7"/>
      <c r="F529" s="68"/>
      <c r="J529" s="68"/>
    </row>
    <row r="530" ht="15.75" customHeight="1">
      <c r="B530" s="7"/>
      <c r="F530" s="68"/>
      <c r="J530" s="68"/>
    </row>
    <row r="531" ht="15.75" customHeight="1">
      <c r="B531" s="7"/>
      <c r="F531" s="68"/>
      <c r="J531" s="68"/>
    </row>
    <row r="532" ht="15.75" customHeight="1">
      <c r="B532" s="7"/>
      <c r="F532" s="68"/>
      <c r="J532" s="68"/>
    </row>
    <row r="533" ht="15.75" customHeight="1">
      <c r="B533" s="7"/>
      <c r="F533" s="68"/>
      <c r="J533" s="68"/>
    </row>
    <row r="534" ht="15.75" customHeight="1">
      <c r="B534" s="7"/>
      <c r="F534" s="68"/>
      <c r="J534" s="68"/>
    </row>
    <row r="535" ht="15.75" customHeight="1">
      <c r="B535" s="7"/>
      <c r="F535" s="68"/>
      <c r="J535" s="68"/>
    </row>
    <row r="536" ht="15.75" customHeight="1">
      <c r="B536" s="7"/>
      <c r="F536" s="68"/>
      <c r="J536" s="68"/>
    </row>
    <row r="537" ht="15.75" customHeight="1">
      <c r="B537" s="7"/>
      <c r="F537" s="68"/>
      <c r="J537" s="68"/>
    </row>
    <row r="538" ht="15.75" customHeight="1">
      <c r="B538" s="7"/>
      <c r="F538" s="68"/>
      <c r="J538" s="68"/>
    </row>
    <row r="539" ht="15.75" customHeight="1">
      <c r="B539" s="7"/>
      <c r="F539" s="68"/>
      <c r="J539" s="68"/>
    </row>
    <row r="540" ht="15.75" customHeight="1">
      <c r="B540" s="7"/>
      <c r="F540" s="68"/>
      <c r="J540" s="68"/>
    </row>
    <row r="541" ht="15.75" customHeight="1">
      <c r="B541" s="7"/>
      <c r="F541" s="68"/>
      <c r="J541" s="68"/>
    </row>
    <row r="542" ht="15.75" customHeight="1">
      <c r="B542" s="7"/>
      <c r="F542" s="68"/>
      <c r="J542" s="68"/>
    </row>
    <row r="543" ht="15.75" customHeight="1">
      <c r="B543" s="7"/>
      <c r="F543" s="68"/>
      <c r="J543" s="68"/>
    </row>
    <row r="544" ht="15.75" customHeight="1">
      <c r="B544" s="7"/>
      <c r="F544" s="68"/>
      <c r="J544" s="68"/>
    </row>
    <row r="545" ht="15.75" customHeight="1">
      <c r="B545" s="7"/>
      <c r="F545" s="68"/>
      <c r="J545" s="68"/>
    </row>
    <row r="546" ht="15.75" customHeight="1">
      <c r="B546" s="7"/>
      <c r="F546" s="68"/>
      <c r="J546" s="68"/>
    </row>
    <row r="547" ht="15.75" customHeight="1">
      <c r="B547" s="7"/>
      <c r="F547" s="68"/>
      <c r="J547" s="68"/>
    </row>
    <row r="548" ht="15.75" customHeight="1">
      <c r="B548" s="7"/>
      <c r="F548" s="68"/>
      <c r="J548" s="68"/>
    </row>
    <row r="549" ht="15.75" customHeight="1">
      <c r="B549" s="7"/>
      <c r="F549" s="68"/>
      <c r="J549" s="68"/>
    </row>
    <row r="550" ht="15.75" customHeight="1">
      <c r="B550" s="7"/>
      <c r="F550" s="68"/>
      <c r="J550" s="68"/>
    </row>
    <row r="551" ht="15.75" customHeight="1">
      <c r="B551" s="7"/>
      <c r="F551" s="68"/>
      <c r="J551" s="68"/>
    </row>
    <row r="552" ht="15.75" customHeight="1">
      <c r="B552" s="7"/>
      <c r="F552" s="68"/>
      <c r="J552" s="68"/>
    </row>
    <row r="553" ht="15.75" customHeight="1">
      <c r="B553" s="7"/>
      <c r="F553" s="68"/>
      <c r="J553" s="68"/>
    </row>
    <row r="554" ht="15.75" customHeight="1">
      <c r="B554" s="7"/>
      <c r="F554" s="68"/>
      <c r="J554" s="68"/>
    </row>
    <row r="555" ht="15.75" customHeight="1">
      <c r="B555" s="7"/>
      <c r="F555" s="68"/>
      <c r="J555" s="68"/>
    </row>
    <row r="556" ht="15.75" customHeight="1">
      <c r="B556" s="7"/>
      <c r="F556" s="68"/>
      <c r="J556" s="68"/>
    </row>
    <row r="557" ht="15.75" customHeight="1">
      <c r="B557" s="7"/>
      <c r="F557" s="68"/>
      <c r="J557" s="68"/>
    </row>
    <row r="558" ht="15.75" customHeight="1">
      <c r="B558" s="7"/>
      <c r="F558" s="68"/>
      <c r="J558" s="68"/>
    </row>
    <row r="559" ht="15.75" customHeight="1">
      <c r="B559" s="7"/>
      <c r="F559" s="68"/>
      <c r="J559" s="68"/>
    </row>
    <row r="560" ht="15.75" customHeight="1">
      <c r="B560" s="7"/>
      <c r="F560" s="68"/>
      <c r="J560" s="68"/>
    </row>
    <row r="561" ht="15.75" customHeight="1">
      <c r="B561" s="7"/>
      <c r="F561" s="68"/>
      <c r="J561" s="68"/>
    </row>
    <row r="562" ht="15.75" customHeight="1">
      <c r="B562" s="7"/>
      <c r="F562" s="68"/>
      <c r="J562" s="68"/>
    </row>
    <row r="563" ht="15.75" customHeight="1">
      <c r="B563" s="7"/>
      <c r="F563" s="68"/>
      <c r="J563" s="68"/>
    </row>
    <row r="564" ht="15.75" customHeight="1">
      <c r="B564" s="7"/>
      <c r="F564" s="68"/>
      <c r="J564" s="68"/>
    </row>
    <row r="565" ht="15.75" customHeight="1">
      <c r="B565" s="7"/>
      <c r="F565" s="68"/>
      <c r="J565" s="68"/>
    </row>
    <row r="566" ht="15.75" customHeight="1">
      <c r="B566" s="7"/>
      <c r="F566" s="68"/>
      <c r="J566" s="68"/>
    </row>
    <row r="567" ht="15.75" customHeight="1">
      <c r="B567" s="7"/>
      <c r="F567" s="68"/>
      <c r="J567" s="68"/>
    </row>
    <row r="568" ht="15.75" customHeight="1">
      <c r="B568" s="7"/>
      <c r="F568" s="68"/>
      <c r="J568" s="68"/>
    </row>
    <row r="569" ht="15.75" customHeight="1">
      <c r="B569" s="7"/>
      <c r="F569" s="68"/>
      <c r="J569" s="68"/>
    </row>
    <row r="570" ht="15.75" customHeight="1">
      <c r="B570" s="7"/>
      <c r="F570" s="68"/>
      <c r="J570" s="68"/>
    </row>
    <row r="571" ht="15.75" customHeight="1">
      <c r="B571" s="7"/>
      <c r="F571" s="68"/>
      <c r="J571" s="68"/>
    </row>
    <row r="572" ht="15.75" customHeight="1">
      <c r="B572" s="7"/>
      <c r="F572" s="68"/>
      <c r="J572" s="68"/>
    </row>
    <row r="573" ht="15.75" customHeight="1">
      <c r="B573" s="7"/>
      <c r="F573" s="68"/>
      <c r="J573" s="68"/>
    </row>
    <row r="574" ht="15.75" customHeight="1">
      <c r="B574" s="7"/>
      <c r="F574" s="68"/>
      <c r="J574" s="68"/>
    </row>
    <row r="575" ht="15.75" customHeight="1">
      <c r="B575" s="7"/>
      <c r="F575" s="68"/>
      <c r="J575" s="68"/>
    </row>
    <row r="576" ht="15.75" customHeight="1">
      <c r="B576" s="7"/>
      <c r="F576" s="68"/>
      <c r="J576" s="68"/>
    </row>
    <row r="577" ht="15.75" customHeight="1">
      <c r="B577" s="7"/>
      <c r="F577" s="68"/>
      <c r="J577" s="68"/>
    </row>
    <row r="578" ht="15.75" customHeight="1">
      <c r="B578" s="7"/>
      <c r="F578" s="68"/>
      <c r="J578" s="68"/>
    </row>
    <row r="579" ht="15.75" customHeight="1">
      <c r="B579" s="7"/>
      <c r="F579" s="68"/>
      <c r="J579" s="68"/>
    </row>
    <row r="580" ht="15.75" customHeight="1">
      <c r="B580" s="7"/>
      <c r="F580" s="68"/>
      <c r="J580" s="68"/>
    </row>
    <row r="581" ht="15.75" customHeight="1">
      <c r="B581" s="7"/>
      <c r="F581" s="68"/>
      <c r="J581" s="68"/>
    </row>
    <row r="582" ht="15.75" customHeight="1">
      <c r="B582" s="7"/>
      <c r="F582" s="68"/>
      <c r="J582" s="68"/>
    </row>
    <row r="583" ht="15.75" customHeight="1">
      <c r="B583" s="7"/>
      <c r="F583" s="68"/>
      <c r="J583" s="68"/>
    </row>
    <row r="584" ht="15.75" customHeight="1">
      <c r="B584" s="7"/>
      <c r="F584" s="68"/>
      <c r="J584" s="68"/>
    </row>
    <row r="585" ht="15.75" customHeight="1">
      <c r="B585" s="7"/>
      <c r="F585" s="68"/>
      <c r="J585" s="68"/>
    </row>
    <row r="586" ht="15.75" customHeight="1">
      <c r="B586" s="7"/>
      <c r="F586" s="68"/>
      <c r="J586" s="68"/>
    </row>
    <row r="587" ht="15.75" customHeight="1">
      <c r="B587" s="7"/>
      <c r="F587" s="68"/>
      <c r="J587" s="68"/>
    </row>
    <row r="588" ht="15.75" customHeight="1">
      <c r="B588" s="7"/>
      <c r="F588" s="68"/>
      <c r="J588" s="68"/>
    </row>
    <row r="589" ht="15.75" customHeight="1">
      <c r="B589" s="7"/>
      <c r="F589" s="68"/>
      <c r="J589" s="68"/>
    </row>
    <row r="590" ht="15.75" customHeight="1">
      <c r="B590" s="7"/>
      <c r="F590" s="68"/>
      <c r="J590" s="68"/>
    </row>
    <row r="591" ht="15.75" customHeight="1">
      <c r="B591" s="7"/>
      <c r="F591" s="68"/>
      <c r="J591" s="68"/>
    </row>
    <row r="592" ht="15.75" customHeight="1">
      <c r="B592" s="7"/>
      <c r="F592" s="68"/>
      <c r="J592" s="68"/>
    </row>
    <row r="593" ht="15.75" customHeight="1">
      <c r="B593" s="7"/>
      <c r="F593" s="68"/>
      <c r="J593" s="68"/>
    </row>
    <row r="594" ht="15.75" customHeight="1">
      <c r="B594" s="7"/>
      <c r="F594" s="68"/>
      <c r="J594" s="68"/>
    </row>
    <row r="595" ht="15.75" customHeight="1">
      <c r="B595" s="7"/>
      <c r="F595" s="68"/>
      <c r="J595" s="68"/>
    </row>
    <row r="596" ht="15.75" customHeight="1">
      <c r="B596" s="7"/>
      <c r="F596" s="68"/>
      <c r="J596" s="68"/>
    </row>
    <row r="597" ht="15.75" customHeight="1">
      <c r="B597" s="7"/>
      <c r="F597" s="68"/>
      <c r="J597" s="68"/>
    </row>
    <row r="598" ht="15.75" customHeight="1">
      <c r="B598" s="7"/>
      <c r="F598" s="68"/>
      <c r="J598" s="68"/>
    </row>
    <row r="599" ht="15.75" customHeight="1">
      <c r="B599" s="7"/>
      <c r="F599" s="68"/>
      <c r="J599" s="68"/>
    </row>
    <row r="600" ht="15.75" customHeight="1">
      <c r="B600" s="7"/>
      <c r="F600" s="68"/>
      <c r="J600" s="68"/>
    </row>
    <row r="601" ht="15.75" customHeight="1">
      <c r="B601" s="7"/>
      <c r="F601" s="68"/>
      <c r="J601" s="68"/>
    </row>
    <row r="602" ht="15.75" customHeight="1">
      <c r="B602" s="7"/>
      <c r="F602" s="68"/>
      <c r="J602" s="68"/>
    </row>
    <row r="603" ht="15.75" customHeight="1">
      <c r="B603" s="7"/>
      <c r="F603" s="68"/>
      <c r="J603" s="68"/>
    </row>
    <row r="604" ht="15.75" customHeight="1">
      <c r="B604" s="7"/>
      <c r="F604" s="68"/>
      <c r="J604" s="68"/>
    </row>
    <row r="605" ht="15.75" customHeight="1">
      <c r="B605" s="7"/>
      <c r="F605" s="68"/>
      <c r="J605" s="68"/>
    </row>
    <row r="606" ht="15.75" customHeight="1">
      <c r="B606" s="7"/>
      <c r="F606" s="68"/>
      <c r="J606" s="68"/>
    </row>
    <row r="607" ht="15.75" customHeight="1">
      <c r="B607" s="7"/>
      <c r="F607" s="68"/>
      <c r="J607" s="68"/>
    </row>
    <row r="608" ht="15.75" customHeight="1">
      <c r="B608" s="7"/>
      <c r="F608" s="68"/>
      <c r="J608" s="68"/>
    </row>
    <row r="609" ht="15.75" customHeight="1">
      <c r="B609" s="7"/>
      <c r="F609" s="68"/>
      <c r="J609" s="68"/>
    </row>
    <row r="610" ht="15.75" customHeight="1">
      <c r="B610" s="7"/>
      <c r="F610" s="68"/>
      <c r="J610" s="68"/>
    </row>
    <row r="611" ht="15.75" customHeight="1">
      <c r="B611" s="7"/>
      <c r="F611" s="68"/>
      <c r="J611" s="68"/>
    </row>
    <row r="612" ht="15.75" customHeight="1">
      <c r="B612" s="7"/>
      <c r="F612" s="68"/>
      <c r="J612" s="68"/>
    </row>
    <row r="613" ht="15.75" customHeight="1">
      <c r="B613" s="7"/>
      <c r="F613" s="68"/>
      <c r="J613" s="68"/>
    </row>
    <row r="614" ht="15.75" customHeight="1">
      <c r="B614" s="7"/>
      <c r="F614" s="68"/>
      <c r="J614" s="68"/>
    </row>
    <row r="615" ht="15.75" customHeight="1">
      <c r="B615" s="7"/>
      <c r="F615" s="68"/>
      <c r="J615" s="68"/>
    </row>
    <row r="616" ht="15.75" customHeight="1">
      <c r="B616" s="7"/>
      <c r="F616" s="68"/>
      <c r="J616" s="68"/>
    </row>
    <row r="617" ht="15.75" customHeight="1">
      <c r="B617" s="7"/>
      <c r="F617" s="68"/>
      <c r="J617" s="68"/>
    </row>
    <row r="618" ht="15.75" customHeight="1">
      <c r="B618" s="7"/>
      <c r="F618" s="68"/>
      <c r="J618" s="68"/>
    </row>
    <row r="619" ht="15.75" customHeight="1">
      <c r="B619" s="7"/>
      <c r="F619" s="68"/>
      <c r="J619" s="68"/>
    </row>
    <row r="620" ht="15.75" customHeight="1">
      <c r="B620" s="7"/>
      <c r="F620" s="68"/>
      <c r="J620" s="68"/>
    </row>
    <row r="621" ht="15.75" customHeight="1">
      <c r="B621" s="7"/>
      <c r="F621" s="68"/>
      <c r="J621" s="68"/>
    </row>
    <row r="622" ht="15.75" customHeight="1">
      <c r="B622" s="7"/>
      <c r="F622" s="68"/>
      <c r="J622" s="68"/>
    </row>
    <row r="623" ht="15.75" customHeight="1">
      <c r="B623" s="7"/>
      <c r="F623" s="68"/>
      <c r="J623" s="68"/>
    </row>
    <row r="624" ht="15.75" customHeight="1">
      <c r="B624" s="7"/>
      <c r="F624" s="68"/>
      <c r="J624" s="68"/>
    </row>
    <row r="625" ht="15.75" customHeight="1">
      <c r="B625" s="7"/>
      <c r="F625" s="68"/>
      <c r="J625" s="68"/>
    </row>
    <row r="626" ht="15.75" customHeight="1">
      <c r="B626" s="7"/>
      <c r="F626" s="68"/>
      <c r="J626" s="68"/>
    </row>
    <row r="627" ht="15.75" customHeight="1">
      <c r="B627" s="7"/>
      <c r="F627" s="68"/>
      <c r="J627" s="68"/>
    </row>
    <row r="628" ht="15.75" customHeight="1">
      <c r="B628" s="7"/>
      <c r="F628" s="68"/>
      <c r="J628" s="68"/>
    </row>
    <row r="629" ht="15.75" customHeight="1">
      <c r="B629" s="7"/>
      <c r="F629" s="68"/>
      <c r="J629" s="68"/>
    </row>
    <row r="630" ht="15.75" customHeight="1">
      <c r="B630" s="7"/>
      <c r="F630" s="68"/>
      <c r="J630" s="68"/>
    </row>
    <row r="631" ht="15.75" customHeight="1">
      <c r="B631" s="7"/>
      <c r="F631" s="68"/>
      <c r="J631" s="68"/>
    </row>
    <row r="632" ht="15.75" customHeight="1">
      <c r="B632" s="7"/>
      <c r="F632" s="68"/>
      <c r="J632" s="68"/>
    </row>
    <row r="633" ht="15.75" customHeight="1">
      <c r="B633" s="7"/>
      <c r="F633" s="68"/>
      <c r="J633" s="68"/>
    </row>
    <row r="634" ht="15.75" customHeight="1">
      <c r="B634" s="7"/>
      <c r="F634" s="68"/>
      <c r="J634" s="68"/>
    </row>
    <row r="635" ht="15.75" customHeight="1">
      <c r="B635" s="7"/>
      <c r="F635" s="68"/>
      <c r="J635" s="68"/>
    </row>
    <row r="636" ht="15.75" customHeight="1">
      <c r="B636" s="7"/>
      <c r="F636" s="68"/>
      <c r="J636" s="68"/>
    </row>
    <row r="637" ht="15.75" customHeight="1">
      <c r="B637" s="7"/>
      <c r="F637" s="68"/>
      <c r="J637" s="68"/>
    </row>
    <row r="638" ht="15.75" customHeight="1">
      <c r="B638" s="7"/>
      <c r="F638" s="68"/>
      <c r="J638" s="68"/>
    </row>
    <row r="639" ht="15.75" customHeight="1">
      <c r="B639" s="7"/>
      <c r="F639" s="68"/>
      <c r="J639" s="68"/>
    </row>
    <row r="640" ht="15.75" customHeight="1">
      <c r="B640" s="7"/>
      <c r="F640" s="68"/>
      <c r="J640" s="68"/>
    </row>
    <row r="641" ht="15.75" customHeight="1">
      <c r="B641" s="7"/>
      <c r="F641" s="68"/>
      <c r="J641" s="68"/>
    </row>
    <row r="642" ht="15.75" customHeight="1">
      <c r="B642" s="7"/>
      <c r="F642" s="68"/>
      <c r="J642" s="68"/>
    </row>
    <row r="643" ht="15.75" customHeight="1">
      <c r="B643" s="7"/>
      <c r="F643" s="68"/>
      <c r="J643" s="68"/>
    </row>
    <row r="644" ht="15.75" customHeight="1">
      <c r="B644" s="7"/>
      <c r="F644" s="68"/>
      <c r="J644" s="68"/>
    </row>
    <row r="645" ht="15.75" customHeight="1">
      <c r="B645" s="7"/>
      <c r="F645" s="68"/>
      <c r="J645" s="68"/>
    </row>
    <row r="646" ht="15.75" customHeight="1">
      <c r="B646" s="7"/>
      <c r="F646" s="68"/>
      <c r="J646" s="68"/>
    </row>
    <row r="647" ht="15.75" customHeight="1">
      <c r="B647" s="7"/>
      <c r="F647" s="68"/>
      <c r="J647" s="68"/>
    </row>
    <row r="648" ht="15.75" customHeight="1">
      <c r="B648" s="7"/>
      <c r="F648" s="68"/>
      <c r="J648" s="68"/>
    </row>
    <row r="649" ht="15.75" customHeight="1">
      <c r="B649" s="7"/>
      <c r="F649" s="68"/>
      <c r="J649" s="68"/>
    </row>
    <row r="650" ht="15.75" customHeight="1">
      <c r="B650" s="7"/>
      <c r="F650" s="68"/>
      <c r="J650" s="68"/>
    </row>
    <row r="651" ht="15.75" customHeight="1">
      <c r="B651" s="7"/>
      <c r="F651" s="68"/>
      <c r="J651" s="68"/>
    </row>
    <row r="652" ht="15.75" customHeight="1">
      <c r="B652" s="7"/>
      <c r="F652" s="68"/>
      <c r="J652" s="68"/>
    </row>
    <row r="653" ht="15.75" customHeight="1">
      <c r="B653" s="7"/>
      <c r="F653" s="68"/>
      <c r="J653" s="68"/>
    </row>
    <row r="654" ht="15.75" customHeight="1">
      <c r="B654" s="7"/>
      <c r="F654" s="68"/>
      <c r="J654" s="68"/>
    </row>
    <row r="655" ht="15.75" customHeight="1">
      <c r="B655" s="7"/>
      <c r="F655" s="68"/>
      <c r="J655" s="68"/>
    </row>
    <row r="656" ht="15.75" customHeight="1">
      <c r="B656" s="7"/>
      <c r="F656" s="68"/>
      <c r="J656" s="68"/>
    </row>
    <row r="657" ht="15.75" customHeight="1">
      <c r="B657" s="7"/>
      <c r="F657" s="68"/>
      <c r="J657" s="68"/>
    </row>
    <row r="658" ht="15.75" customHeight="1">
      <c r="B658" s="7"/>
      <c r="F658" s="68"/>
      <c r="J658" s="68"/>
    </row>
    <row r="659" ht="15.75" customHeight="1">
      <c r="B659" s="7"/>
      <c r="F659" s="68"/>
      <c r="J659" s="68"/>
    </row>
    <row r="660" ht="15.75" customHeight="1">
      <c r="B660" s="7"/>
      <c r="F660" s="68"/>
      <c r="J660" s="68"/>
    </row>
    <row r="661" ht="15.75" customHeight="1">
      <c r="B661" s="7"/>
      <c r="F661" s="68"/>
      <c r="J661" s="68"/>
    </row>
    <row r="662" ht="15.75" customHeight="1">
      <c r="B662" s="7"/>
      <c r="F662" s="68"/>
      <c r="J662" s="68"/>
    </row>
    <row r="663" ht="15.75" customHeight="1">
      <c r="B663" s="7"/>
      <c r="F663" s="68"/>
      <c r="J663" s="68"/>
    </row>
    <row r="664" ht="15.75" customHeight="1">
      <c r="B664" s="7"/>
      <c r="F664" s="68"/>
      <c r="J664" s="68"/>
    </row>
    <row r="665" ht="15.75" customHeight="1">
      <c r="B665" s="7"/>
      <c r="F665" s="68"/>
      <c r="J665" s="68"/>
    </row>
    <row r="666" ht="15.75" customHeight="1">
      <c r="B666" s="7"/>
      <c r="F666" s="68"/>
      <c r="J666" s="68"/>
    </row>
    <row r="667" ht="15.75" customHeight="1">
      <c r="B667" s="7"/>
      <c r="F667" s="68"/>
      <c r="J667" s="68"/>
    </row>
    <row r="668" ht="15.75" customHeight="1">
      <c r="B668" s="7"/>
      <c r="F668" s="68"/>
      <c r="J668" s="68"/>
    </row>
    <row r="669" ht="15.75" customHeight="1">
      <c r="B669" s="7"/>
      <c r="F669" s="68"/>
      <c r="J669" s="68"/>
    </row>
    <row r="670" ht="15.75" customHeight="1">
      <c r="B670" s="7"/>
      <c r="F670" s="68"/>
      <c r="J670" s="68"/>
    </row>
    <row r="671" ht="15.75" customHeight="1">
      <c r="B671" s="7"/>
      <c r="F671" s="68"/>
      <c r="J671" s="68"/>
    </row>
    <row r="672" ht="15.75" customHeight="1">
      <c r="B672" s="7"/>
      <c r="F672" s="68"/>
      <c r="J672" s="68"/>
    </row>
    <row r="673" ht="15.75" customHeight="1">
      <c r="B673" s="7"/>
      <c r="F673" s="68"/>
      <c r="J673" s="68"/>
    </row>
    <row r="674" ht="15.75" customHeight="1">
      <c r="B674" s="7"/>
      <c r="F674" s="68"/>
      <c r="J674" s="68"/>
    </row>
    <row r="675" ht="15.75" customHeight="1">
      <c r="B675" s="7"/>
      <c r="F675" s="68"/>
      <c r="J675" s="68"/>
    </row>
    <row r="676" ht="15.75" customHeight="1">
      <c r="B676" s="7"/>
      <c r="F676" s="68"/>
      <c r="J676" s="68"/>
    </row>
    <row r="677" ht="15.75" customHeight="1">
      <c r="B677" s="7"/>
      <c r="F677" s="68"/>
      <c r="J677" s="68"/>
    </row>
    <row r="678" ht="15.75" customHeight="1">
      <c r="B678" s="7"/>
      <c r="F678" s="68"/>
      <c r="J678" s="68"/>
    </row>
    <row r="679" ht="15.75" customHeight="1">
      <c r="B679" s="7"/>
      <c r="F679" s="68"/>
      <c r="J679" s="68"/>
    </row>
    <row r="680" ht="15.75" customHeight="1">
      <c r="B680" s="7"/>
      <c r="F680" s="68"/>
      <c r="J680" s="68"/>
    </row>
    <row r="681" ht="15.75" customHeight="1">
      <c r="B681" s="7"/>
      <c r="F681" s="68"/>
      <c r="J681" s="68"/>
    </row>
    <row r="682" ht="15.75" customHeight="1">
      <c r="B682" s="7"/>
      <c r="F682" s="68"/>
      <c r="J682" s="68"/>
    </row>
    <row r="683" ht="15.75" customHeight="1">
      <c r="B683" s="7"/>
      <c r="F683" s="68"/>
      <c r="J683" s="68"/>
    </row>
    <row r="684" ht="15.75" customHeight="1">
      <c r="B684" s="7"/>
      <c r="F684" s="68"/>
      <c r="J684" s="68"/>
    </row>
    <row r="685" ht="15.75" customHeight="1">
      <c r="B685" s="7"/>
      <c r="F685" s="68"/>
      <c r="J685" s="68"/>
    </row>
    <row r="686" ht="15.75" customHeight="1">
      <c r="B686" s="7"/>
      <c r="F686" s="68"/>
      <c r="J686" s="68"/>
    </row>
    <row r="687" ht="15.75" customHeight="1">
      <c r="B687" s="7"/>
      <c r="F687" s="68"/>
      <c r="J687" s="68"/>
    </row>
    <row r="688" ht="15.75" customHeight="1">
      <c r="B688" s="7"/>
      <c r="F688" s="68"/>
      <c r="J688" s="68"/>
    </row>
    <row r="689" ht="15.75" customHeight="1">
      <c r="B689" s="7"/>
      <c r="F689" s="68"/>
      <c r="J689" s="68"/>
    </row>
    <row r="690" ht="15.75" customHeight="1">
      <c r="B690" s="7"/>
      <c r="F690" s="68"/>
      <c r="J690" s="68"/>
    </row>
    <row r="691" ht="15.75" customHeight="1">
      <c r="B691" s="7"/>
      <c r="F691" s="68"/>
      <c r="J691" s="68"/>
    </row>
    <row r="692" ht="15.75" customHeight="1">
      <c r="B692" s="7"/>
      <c r="F692" s="68"/>
      <c r="J692" s="68"/>
    </row>
    <row r="693" ht="15.75" customHeight="1">
      <c r="B693" s="7"/>
      <c r="F693" s="68"/>
      <c r="J693" s="68"/>
    </row>
    <row r="694" ht="15.75" customHeight="1">
      <c r="B694" s="7"/>
      <c r="F694" s="68"/>
      <c r="J694" s="68"/>
    </row>
    <row r="695" ht="15.75" customHeight="1">
      <c r="B695" s="7"/>
      <c r="F695" s="68"/>
      <c r="J695" s="68"/>
    </row>
    <row r="696" ht="15.75" customHeight="1">
      <c r="B696" s="7"/>
      <c r="F696" s="68"/>
      <c r="J696" s="68"/>
    </row>
    <row r="697" ht="15.75" customHeight="1">
      <c r="B697" s="7"/>
      <c r="F697" s="68"/>
      <c r="J697" s="68"/>
    </row>
    <row r="698" ht="15.75" customHeight="1">
      <c r="B698" s="7"/>
      <c r="F698" s="68"/>
      <c r="J698" s="68"/>
    </row>
    <row r="699" ht="15.75" customHeight="1">
      <c r="B699" s="7"/>
      <c r="F699" s="68"/>
      <c r="J699" s="68"/>
    </row>
    <row r="700" ht="15.75" customHeight="1">
      <c r="B700" s="7"/>
      <c r="F700" s="68"/>
      <c r="J700" s="68"/>
    </row>
    <row r="701" ht="15.75" customHeight="1">
      <c r="B701" s="7"/>
      <c r="F701" s="68"/>
      <c r="J701" s="68"/>
    </row>
    <row r="702" ht="15.75" customHeight="1">
      <c r="B702" s="7"/>
      <c r="F702" s="68"/>
      <c r="J702" s="68"/>
    </row>
    <row r="703" ht="15.75" customHeight="1">
      <c r="B703" s="7"/>
      <c r="F703" s="68"/>
      <c r="J703" s="68"/>
    </row>
    <row r="704" ht="15.75" customHeight="1">
      <c r="B704" s="7"/>
      <c r="F704" s="68"/>
      <c r="J704" s="68"/>
    </row>
    <row r="705" ht="15.75" customHeight="1">
      <c r="B705" s="7"/>
      <c r="F705" s="68"/>
      <c r="J705" s="68"/>
    </row>
    <row r="706" ht="15.75" customHeight="1">
      <c r="B706" s="7"/>
      <c r="F706" s="68"/>
      <c r="J706" s="68"/>
    </row>
    <row r="707" ht="15.75" customHeight="1">
      <c r="B707" s="7"/>
      <c r="F707" s="68"/>
      <c r="J707" s="68"/>
    </row>
    <row r="708" ht="15.75" customHeight="1">
      <c r="B708" s="7"/>
      <c r="F708" s="68"/>
      <c r="J708" s="68"/>
    </row>
    <row r="709" ht="15.75" customHeight="1">
      <c r="B709" s="7"/>
      <c r="F709" s="68"/>
      <c r="J709" s="68"/>
    </row>
    <row r="710" ht="15.75" customHeight="1">
      <c r="B710" s="7"/>
      <c r="F710" s="68"/>
      <c r="J710" s="68"/>
    </row>
    <row r="711" ht="15.75" customHeight="1">
      <c r="B711" s="7"/>
      <c r="F711" s="68"/>
      <c r="J711" s="68"/>
    </row>
    <row r="712" ht="15.75" customHeight="1">
      <c r="B712" s="7"/>
      <c r="F712" s="68"/>
      <c r="J712" s="68"/>
    </row>
    <row r="713" ht="15.75" customHeight="1">
      <c r="B713" s="7"/>
      <c r="F713" s="68"/>
      <c r="J713" s="68"/>
    </row>
    <row r="714" ht="15.75" customHeight="1">
      <c r="B714" s="7"/>
      <c r="F714" s="68"/>
      <c r="J714" s="68"/>
    </row>
    <row r="715" ht="15.75" customHeight="1">
      <c r="B715" s="7"/>
      <c r="F715" s="68"/>
      <c r="J715" s="68"/>
    </row>
    <row r="716" ht="15.75" customHeight="1">
      <c r="B716" s="7"/>
      <c r="F716" s="68"/>
      <c r="J716" s="68"/>
    </row>
    <row r="717" ht="15.75" customHeight="1">
      <c r="B717" s="7"/>
      <c r="F717" s="68"/>
      <c r="J717" s="68"/>
    </row>
    <row r="718" ht="15.75" customHeight="1">
      <c r="B718" s="7"/>
      <c r="F718" s="68"/>
      <c r="J718" s="68"/>
    </row>
    <row r="719" ht="15.75" customHeight="1">
      <c r="B719" s="7"/>
      <c r="F719" s="68"/>
      <c r="J719" s="68"/>
    </row>
    <row r="720" ht="15.75" customHeight="1">
      <c r="B720" s="7"/>
      <c r="F720" s="68"/>
      <c r="J720" s="68"/>
    </row>
    <row r="721" ht="15.75" customHeight="1">
      <c r="B721" s="7"/>
      <c r="F721" s="68"/>
      <c r="J721" s="68"/>
    </row>
    <row r="722" ht="15.75" customHeight="1">
      <c r="B722" s="7"/>
      <c r="F722" s="68"/>
      <c r="J722" s="68"/>
    </row>
    <row r="723" ht="15.75" customHeight="1">
      <c r="B723" s="7"/>
      <c r="F723" s="68"/>
      <c r="J723" s="68"/>
    </row>
    <row r="724" ht="15.75" customHeight="1">
      <c r="B724" s="7"/>
      <c r="F724" s="68"/>
      <c r="J724" s="68"/>
    </row>
    <row r="725" ht="15.75" customHeight="1">
      <c r="B725" s="7"/>
      <c r="F725" s="68"/>
      <c r="J725" s="68"/>
    </row>
    <row r="726" ht="15.75" customHeight="1">
      <c r="B726" s="7"/>
      <c r="F726" s="68"/>
      <c r="J726" s="68"/>
    </row>
    <row r="727" ht="15.75" customHeight="1">
      <c r="B727" s="7"/>
      <c r="F727" s="68"/>
      <c r="J727" s="68"/>
    </row>
    <row r="728" ht="15.75" customHeight="1">
      <c r="B728" s="7"/>
      <c r="F728" s="68"/>
      <c r="J728" s="68"/>
    </row>
    <row r="729" ht="15.75" customHeight="1">
      <c r="B729" s="7"/>
      <c r="F729" s="68"/>
      <c r="J729" s="68"/>
    </row>
    <row r="730" ht="15.75" customHeight="1">
      <c r="B730" s="7"/>
      <c r="F730" s="68"/>
      <c r="J730" s="68"/>
    </row>
    <row r="731" ht="15.75" customHeight="1">
      <c r="B731" s="7"/>
      <c r="F731" s="68"/>
      <c r="J731" s="68"/>
    </row>
    <row r="732" ht="15.75" customHeight="1">
      <c r="B732" s="7"/>
      <c r="F732" s="68"/>
      <c r="J732" s="68"/>
    </row>
    <row r="733" ht="15.75" customHeight="1">
      <c r="B733" s="7"/>
      <c r="F733" s="68"/>
      <c r="J733" s="68"/>
    </row>
    <row r="734" ht="15.75" customHeight="1">
      <c r="B734" s="7"/>
      <c r="F734" s="68"/>
      <c r="J734" s="68"/>
    </row>
    <row r="735" ht="15.75" customHeight="1">
      <c r="B735" s="7"/>
      <c r="F735" s="68"/>
      <c r="J735" s="68"/>
    </row>
    <row r="736" ht="15.75" customHeight="1">
      <c r="B736" s="7"/>
      <c r="F736" s="68"/>
      <c r="J736" s="68"/>
    </row>
    <row r="737" ht="15.75" customHeight="1">
      <c r="B737" s="7"/>
      <c r="F737" s="68"/>
      <c r="J737" s="68"/>
    </row>
    <row r="738" ht="15.75" customHeight="1">
      <c r="B738" s="7"/>
      <c r="F738" s="68"/>
      <c r="J738" s="68"/>
    </row>
    <row r="739" ht="15.75" customHeight="1">
      <c r="B739" s="7"/>
      <c r="F739" s="68"/>
      <c r="J739" s="68"/>
    </row>
    <row r="740" ht="15.75" customHeight="1">
      <c r="B740" s="7"/>
      <c r="F740" s="68"/>
      <c r="J740" s="68"/>
    </row>
    <row r="741" ht="15.75" customHeight="1">
      <c r="B741" s="7"/>
      <c r="F741" s="68"/>
      <c r="J741" s="68"/>
    </row>
    <row r="742" ht="15.75" customHeight="1">
      <c r="B742" s="7"/>
      <c r="F742" s="68"/>
      <c r="J742" s="68"/>
    </row>
    <row r="743" ht="15.75" customHeight="1">
      <c r="B743" s="7"/>
      <c r="F743" s="68"/>
      <c r="J743" s="68"/>
    </row>
    <row r="744" ht="15.75" customHeight="1">
      <c r="B744" s="7"/>
      <c r="F744" s="68"/>
      <c r="J744" s="68"/>
    </row>
    <row r="745" ht="15.75" customHeight="1">
      <c r="B745" s="7"/>
      <c r="F745" s="68"/>
      <c r="J745" s="68"/>
    </row>
    <row r="746" ht="15.75" customHeight="1">
      <c r="B746" s="7"/>
      <c r="F746" s="68"/>
      <c r="J746" s="68"/>
    </row>
    <row r="747" ht="15.75" customHeight="1">
      <c r="B747" s="7"/>
      <c r="F747" s="68"/>
      <c r="J747" s="68"/>
    </row>
    <row r="748" ht="15.75" customHeight="1">
      <c r="B748" s="7"/>
      <c r="F748" s="68"/>
      <c r="J748" s="68"/>
    </row>
    <row r="749" ht="15.75" customHeight="1">
      <c r="B749" s="7"/>
      <c r="F749" s="68"/>
      <c r="J749" s="68"/>
    </row>
    <row r="750" ht="15.75" customHeight="1">
      <c r="B750" s="7"/>
      <c r="F750" s="68"/>
      <c r="J750" s="68"/>
    </row>
    <row r="751" ht="15.75" customHeight="1">
      <c r="B751" s="7"/>
      <c r="F751" s="68"/>
      <c r="J751" s="68"/>
    </row>
    <row r="752" ht="15.75" customHeight="1">
      <c r="B752" s="7"/>
      <c r="F752" s="68"/>
      <c r="J752" s="68"/>
    </row>
    <row r="753" ht="15.75" customHeight="1">
      <c r="B753" s="7"/>
      <c r="F753" s="68"/>
      <c r="J753" s="68"/>
    </row>
    <row r="754" ht="15.75" customHeight="1">
      <c r="B754" s="7"/>
      <c r="F754" s="68"/>
      <c r="J754" s="68"/>
    </row>
    <row r="755" ht="15.75" customHeight="1">
      <c r="B755" s="7"/>
      <c r="F755" s="68"/>
      <c r="J755" s="68"/>
    </row>
    <row r="756" ht="15.75" customHeight="1">
      <c r="B756" s="7"/>
      <c r="F756" s="68"/>
      <c r="J756" s="68"/>
    </row>
    <row r="757" ht="15.75" customHeight="1">
      <c r="B757" s="7"/>
      <c r="F757" s="68"/>
      <c r="J757" s="68"/>
    </row>
    <row r="758" ht="15.75" customHeight="1">
      <c r="B758" s="7"/>
      <c r="F758" s="68"/>
      <c r="J758" s="68"/>
    </row>
    <row r="759" ht="15.75" customHeight="1">
      <c r="B759" s="7"/>
      <c r="F759" s="68"/>
      <c r="J759" s="68"/>
    </row>
    <row r="760" ht="15.75" customHeight="1">
      <c r="B760" s="7"/>
      <c r="F760" s="68"/>
      <c r="J760" s="68"/>
    </row>
    <row r="761" ht="15.75" customHeight="1">
      <c r="B761" s="7"/>
      <c r="F761" s="68"/>
      <c r="J761" s="68"/>
    </row>
    <row r="762" ht="15.75" customHeight="1">
      <c r="B762" s="7"/>
      <c r="F762" s="68"/>
      <c r="J762" s="68"/>
    </row>
    <row r="763" ht="15.75" customHeight="1">
      <c r="B763" s="7"/>
      <c r="F763" s="68"/>
      <c r="J763" s="68"/>
    </row>
    <row r="764" ht="15.75" customHeight="1">
      <c r="B764" s="7"/>
      <c r="F764" s="68"/>
      <c r="J764" s="68"/>
    </row>
    <row r="765" ht="15.75" customHeight="1">
      <c r="B765" s="7"/>
      <c r="F765" s="68"/>
      <c r="J765" s="68"/>
    </row>
    <row r="766" ht="15.75" customHeight="1">
      <c r="B766" s="7"/>
      <c r="F766" s="68"/>
      <c r="J766" s="68"/>
    </row>
    <row r="767" ht="15.75" customHeight="1">
      <c r="B767" s="7"/>
      <c r="F767" s="68"/>
      <c r="J767" s="68"/>
    </row>
    <row r="768" ht="15.75" customHeight="1">
      <c r="B768" s="7"/>
      <c r="F768" s="68"/>
      <c r="J768" s="68"/>
    </row>
    <row r="769" ht="15.75" customHeight="1">
      <c r="B769" s="7"/>
      <c r="F769" s="68"/>
      <c r="J769" s="68"/>
    </row>
    <row r="770" ht="15.75" customHeight="1">
      <c r="B770" s="7"/>
      <c r="F770" s="68"/>
      <c r="J770" s="68"/>
    </row>
    <row r="771" ht="15.75" customHeight="1">
      <c r="B771" s="7"/>
      <c r="F771" s="68"/>
      <c r="J771" s="68"/>
    </row>
    <row r="772" ht="15.75" customHeight="1">
      <c r="B772" s="7"/>
      <c r="F772" s="68"/>
      <c r="J772" s="68"/>
    </row>
    <row r="773" ht="15.75" customHeight="1">
      <c r="B773" s="7"/>
      <c r="F773" s="68"/>
      <c r="J773" s="68"/>
    </row>
    <row r="774" ht="15.75" customHeight="1">
      <c r="B774" s="7"/>
      <c r="F774" s="68"/>
      <c r="J774" s="68"/>
    </row>
    <row r="775" ht="15.75" customHeight="1">
      <c r="B775" s="7"/>
      <c r="F775" s="68"/>
      <c r="J775" s="68"/>
    </row>
    <row r="776" ht="15.75" customHeight="1">
      <c r="B776" s="7"/>
      <c r="F776" s="68"/>
      <c r="J776" s="68"/>
    </row>
    <row r="777" ht="15.75" customHeight="1">
      <c r="B777" s="7"/>
      <c r="F777" s="68"/>
      <c r="J777" s="68"/>
    </row>
    <row r="778" ht="15.75" customHeight="1">
      <c r="B778" s="7"/>
      <c r="F778" s="68"/>
      <c r="J778" s="68"/>
    </row>
    <row r="779" ht="15.75" customHeight="1">
      <c r="B779" s="7"/>
      <c r="F779" s="68"/>
      <c r="J779" s="68"/>
    </row>
    <row r="780" ht="15.75" customHeight="1">
      <c r="B780" s="7"/>
      <c r="F780" s="68"/>
      <c r="J780" s="68"/>
    </row>
    <row r="781" ht="15.75" customHeight="1">
      <c r="B781" s="7"/>
      <c r="F781" s="68"/>
      <c r="J781" s="68"/>
    </row>
    <row r="782" ht="15.75" customHeight="1">
      <c r="B782" s="7"/>
      <c r="F782" s="68"/>
      <c r="J782" s="68"/>
    </row>
    <row r="783" ht="15.75" customHeight="1">
      <c r="B783" s="7"/>
      <c r="F783" s="68"/>
      <c r="J783" s="68"/>
    </row>
    <row r="784" ht="15.75" customHeight="1">
      <c r="B784" s="7"/>
      <c r="F784" s="68"/>
      <c r="J784" s="68"/>
    </row>
    <row r="785" ht="15.75" customHeight="1">
      <c r="B785" s="7"/>
      <c r="F785" s="68"/>
      <c r="J785" s="68"/>
    </row>
    <row r="786" ht="15.75" customHeight="1">
      <c r="B786" s="7"/>
      <c r="F786" s="68"/>
      <c r="J786" s="68"/>
    </row>
    <row r="787" ht="15.75" customHeight="1">
      <c r="B787" s="7"/>
      <c r="F787" s="68"/>
      <c r="J787" s="68"/>
    </row>
    <row r="788" ht="15.75" customHeight="1">
      <c r="B788" s="7"/>
      <c r="F788" s="68"/>
      <c r="J788" s="68"/>
    </row>
    <row r="789" ht="15.75" customHeight="1">
      <c r="B789" s="7"/>
      <c r="F789" s="68"/>
      <c r="J789" s="68"/>
    </row>
    <row r="790" ht="15.75" customHeight="1">
      <c r="B790" s="7"/>
      <c r="F790" s="68"/>
      <c r="J790" s="68"/>
    </row>
    <row r="791" ht="15.75" customHeight="1">
      <c r="B791" s="7"/>
      <c r="F791" s="68"/>
      <c r="J791" s="68"/>
    </row>
    <row r="792" ht="15.75" customHeight="1">
      <c r="B792" s="7"/>
      <c r="F792" s="68"/>
      <c r="J792" s="68"/>
    </row>
    <row r="793" ht="15.75" customHeight="1">
      <c r="B793" s="7"/>
      <c r="F793" s="68"/>
      <c r="J793" s="68"/>
    </row>
    <row r="794" ht="15.75" customHeight="1">
      <c r="B794" s="7"/>
      <c r="F794" s="68"/>
      <c r="J794" s="68"/>
    </row>
    <row r="795" ht="15.75" customHeight="1">
      <c r="B795" s="7"/>
      <c r="F795" s="68"/>
      <c r="J795" s="68"/>
    </row>
    <row r="796" ht="15.75" customHeight="1">
      <c r="B796" s="7"/>
      <c r="F796" s="68"/>
      <c r="J796" s="68"/>
    </row>
    <row r="797" ht="15.75" customHeight="1">
      <c r="B797" s="7"/>
      <c r="F797" s="68"/>
      <c r="J797" s="68"/>
    </row>
    <row r="798" ht="15.75" customHeight="1">
      <c r="B798" s="7"/>
      <c r="F798" s="68"/>
      <c r="J798" s="68"/>
    </row>
    <row r="799" ht="15.75" customHeight="1">
      <c r="B799" s="7"/>
      <c r="F799" s="68"/>
      <c r="J799" s="68"/>
    </row>
    <row r="800" ht="15.75" customHeight="1">
      <c r="B800" s="7"/>
      <c r="F800" s="68"/>
      <c r="J800" s="68"/>
    </row>
    <row r="801" ht="15.75" customHeight="1">
      <c r="B801" s="7"/>
      <c r="F801" s="68"/>
      <c r="J801" s="68"/>
    </row>
    <row r="802" ht="15.75" customHeight="1">
      <c r="B802" s="7"/>
      <c r="F802" s="68"/>
      <c r="J802" s="68"/>
    </row>
    <row r="803" ht="15.75" customHeight="1">
      <c r="B803" s="7"/>
      <c r="F803" s="68"/>
      <c r="J803" s="68"/>
    </row>
    <row r="804" ht="15.75" customHeight="1">
      <c r="B804" s="7"/>
      <c r="F804" s="68"/>
      <c r="J804" s="68"/>
    </row>
    <row r="805" ht="15.75" customHeight="1">
      <c r="B805" s="7"/>
      <c r="F805" s="68"/>
      <c r="J805" s="68"/>
    </row>
    <row r="806" ht="15.75" customHeight="1">
      <c r="B806" s="7"/>
      <c r="F806" s="68"/>
      <c r="J806" s="68"/>
    </row>
    <row r="807" ht="15.75" customHeight="1">
      <c r="B807" s="7"/>
      <c r="F807" s="68"/>
      <c r="J807" s="68"/>
    </row>
    <row r="808" ht="15.75" customHeight="1">
      <c r="B808" s="7"/>
      <c r="F808" s="68"/>
      <c r="J808" s="68"/>
    </row>
    <row r="809" ht="15.75" customHeight="1">
      <c r="B809" s="7"/>
      <c r="F809" s="68"/>
      <c r="J809" s="68"/>
    </row>
    <row r="810" ht="15.75" customHeight="1">
      <c r="B810" s="7"/>
      <c r="F810" s="68"/>
      <c r="J810" s="68"/>
    </row>
    <row r="811" ht="15.75" customHeight="1">
      <c r="B811" s="7"/>
      <c r="F811" s="68"/>
      <c r="J811" s="68"/>
    </row>
    <row r="812" ht="15.75" customHeight="1">
      <c r="B812" s="7"/>
      <c r="F812" s="68"/>
      <c r="J812" s="68"/>
    </row>
    <row r="813" ht="15.75" customHeight="1">
      <c r="B813" s="7"/>
      <c r="F813" s="68"/>
      <c r="J813" s="68"/>
    </row>
    <row r="814" ht="15.75" customHeight="1">
      <c r="B814" s="7"/>
      <c r="F814" s="68"/>
      <c r="J814" s="68"/>
    </row>
    <row r="815" ht="15.75" customHeight="1">
      <c r="B815" s="7"/>
      <c r="F815" s="68"/>
      <c r="J815" s="68"/>
    </row>
    <row r="816" ht="15.75" customHeight="1">
      <c r="B816" s="7"/>
      <c r="F816" s="68"/>
      <c r="J816" s="68"/>
    </row>
    <row r="817" ht="15.75" customHeight="1">
      <c r="B817" s="7"/>
      <c r="F817" s="68"/>
      <c r="J817" s="68"/>
    </row>
    <row r="818" ht="15.75" customHeight="1">
      <c r="B818" s="7"/>
      <c r="F818" s="68"/>
      <c r="J818" s="68"/>
    </row>
    <row r="819" ht="15.75" customHeight="1">
      <c r="B819" s="7"/>
      <c r="F819" s="68"/>
      <c r="J819" s="68"/>
    </row>
    <row r="820" ht="15.75" customHeight="1">
      <c r="B820" s="7"/>
      <c r="F820" s="68"/>
      <c r="J820" s="68"/>
    </row>
    <row r="821" ht="15.75" customHeight="1">
      <c r="B821" s="7"/>
      <c r="F821" s="68"/>
      <c r="J821" s="68"/>
    </row>
    <row r="822" ht="15.75" customHeight="1">
      <c r="B822" s="7"/>
      <c r="F822" s="68"/>
      <c r="J822" s="68"/>
    </row>
    <row r="823" ht="15.75" customHeight="1">
      <c r="B823" s="7"/>
      <c r="F823" s="68"/>
      <c r="J823" s="68"/>
    </row>
    <row r="824" ht="15.75" customHeight="1">
      <c r="B824" s="7"/>
      <c r="F824" s="68"/>
      <c r="J824" s="68"/>
    </row>
    <row r="825" ht="15.75" customHeight="1">
      <c r="B825" s="7"/>
      <c r="F825" s="68"/>
      <c r="J825" s="68"/>
    </row>
    <row r="826" ht="15.75" customHeight="1">
      <c r="B826" s="7"/>
      <c r="F826" s="68"/>
      <c r="J826" s="68"/>
    </row>
    <row r="827" ht="15.75" customHeight="1">
      <c r="B827" s="7"/>
      <c r="F827" s="68"/>
      <c r="J827" s="68"/>
    </row>
    <row r="828" ht="15.75" customHeight="1">
      <c r="B828" s="7"/>
      <c r="F828" s="68"/>
      <c r="J828" s="68"/>
    </row>
    <row r="829" ht="15.75" customHeight="1">
      <c r="B829" s="7"/>
      <c r="F829" s="68"/>
      <c r="J829" s="68"/>
    </row>
    <row r="830" ht="15.75" customHeight="1">
      <c r="B830" s="7"/>
      <c r="F830" s="68"/>
      <c r="J830" s="68"/>
    </row>
    <row r="831" ht="15.75" customHeight="1">
      <c r="B831" s="7"/>
      <c r="F831" s="68"/>
      <c r="J831" s="68"/>
    </row>
    <row r="832" ht="15.75" customHeight="1">
      <c r="B832" s="7"/>
      <c r="F832" s="68"/>
      <c r="J832" s="68"/>
    </row>
    <row r="833" ht="15.75" customHeight="1">
      <c r="B833" s="7"/>
      <c r="F833" s="68"/>
      <c r="J833" s="68"/>
    </row>
    <row r="834" ht="15.75" customHeight="1">
      <c r="B834" s="7"/>
      <c r="F834" s="68"/>
      <c r="J834" s="68"/>
    </row>
    <row r="835" ht="15.75" customHeight="1">
      <c r="B835" s="7"/>
      <c r="F835" s="68"/>
      <c r="J835" s="68"/>
    </row>
    <row r="836" ht="15.75" customHeight="1">
      <c r="B836" s="7"/>
      <c r="F836" s="68"/>
      <c r="J836" s="68"/>
    </row>
    <row r="837" ht="15.75" customHeight="1">
      <c r="B837" s="7"/>
      <c r="F837" s="68"/>
      <c r="J837" s="68"/>
    </row>
    <row r="838" ht="15.75" customHeight="1">
      <c r="B838" s="7"/>
      <c r="F838" s="68"/>
      <c r="J838" s="68"/>
    </row>
    <row r="839" ht="15.75" customHeight="1">
      <c r="B839" s="7"/>
      <c r="F839" s="68"/>
      <c r="J839" s="68"/>
    </row>
    <row r="840" ht="15.75" customHeight="1">
      <c r="B840" s="7"/>
      <c r="F840" s="68"/>
      <c r="J840" s="68"/>
    </row>
    <row r="841" ht="15.75" customHeight="1">
      <c r="B841" s="7"/>
      <c r="F841" s="68"/>
      <c r="J841" s="68"/>
    </row>
    <row r="842" ht="15.75" customHeight="1">
      <c r="B842" s="7"/>
      <c r="F842" s="68"/>
      <c r="J842" s="68"/>
    </row>
    <row r="843" ht="15.75" customHeight="1">
      <c r="B843" s="7"/>
      <c r="F843" s="68"/>
      <c r="J843" s="68"/>
    </row>
    <row r="844" ht="15.75" customHeight="1">
      <c r="B844" s="7"/>
      <c r="F844" s="68"/>
      <c r="J844" s="68"/>
    </row>
    <row r="845" ht="15.75" customHeight="1">
      <c r="B845" s="7"/>
      <c r="F845" s="68"/>
      <c r="J845" s="68"/>
    </row>
    <row r="846" ht="15.75" customHeight="1">
      <c r="B846" s="7"/>
      <c r="F846" s="68"/>
      <c r="J846" s="68"/>
    </row>
    <row r="847" ht="15.75" customHeight="1">
      <c r="B847" s="7"/>
      <c r="F847" s="68"/>
      <c r="J847" s="68"/>
    </row>
    <row r="848" ht="15.75" customHeight="1">
      <c r="B848" s="7"/>
      <c r="F848" s="68"/>
      <c r="J848" s="68"/>
    </row>
    <row r="849" ht="15.75" customHeight="1">
      <c r="B849" s="7"/>
      <c r="F849" s="68"/>
      <c r="J849" s="68"/>
    </row>
    <row r="850" ht="15.75" customHeight="1">
      <c r="B850" s="7"/>
      <c r="F850" s="68"/>
      <c r="J850" s="68"/>
    </row>
    <row r="851" ht="15.75" customHeight="1">
      <c r="B851" s="7"/>
      <c r="F851" s="68"/>
      <c r="J851" s="68"/>
    </row>
    <row r="852" ht="15.75" customHeight="1">
      <c r="B852" s="7"/>
      <c r="F852" s="68"/>
      <c r="J852" s="68"/>
    </row>
    <row r="853" ht="15.75" customHeight="1">
      <c r="B853" s="7"/>
      <c r="F853" s="68"/>
      <c r="J853" s="68"/>
    </row>
    <row r="854" ht="15.75" customHeight="1">
      <c r="B854" s="7"/>
      <c r="F854" s="68"/>
      <c r="J854" s="68"/>
    </row>
    <row r="855" ht="15.75" customHeight="1">
      <c r="B855" s="7"/>
      <c r="F855" s="68"/>
      <c r="J855" s="68"/>
    </row>
    <row r="856" ht="15.75" customHeight="1">
      <c r="B856" s="7"/>
      <c r="F856" s="68"/>
      <c r="J856" s="68"/>
    </row>
    <row r="857" ht="15.75" customHeight="1">
      <c r="B857" s="7"/>
      <c r="F857" s="68"/>
      <c r="J857" s="68"/>
    </row>
    <row r="858" ht="15.75" customHeight="1">
      <c r="B858" s="7"/>
      <c r="F858" s="68"/>
      <c r="J858" s="68"/>
    </row>
    <row r="859" ht="15.75" customHeight="1">
      <c r="B859" s="7"/>
      <c r="F859" s="68"/>
      <c r="J859" s="68"/>
    </row>
    <row r="860" ht="15.75" customHeight="1">
      <c r="B860" s="7"/>
      <c r="F860" s="68"/>
      <c r="J860" s="68"/>
    </row>
    <row r="861" ht="15.75" customHeight="1">
      <c r="B861" s="7"/>
      <c r="F861" s="68"/>
      <c r="J861" s="68"/>
    </row>
    <row r="862" ht="15.75" customHeight="1">
      <c r="B862" s="7"/>
      <c r="F862" s="68"/>
      <c r="J862" s="68"/>
    </row>
    <row r="863" ht="15.75" customHeight="1">
      <c r="B863" s="7"/>
      <c r="F863" s="68"/>
      <c r="J863" s="68"/>
    </row>
    <row r="864" ht="15.75" customHeight="1">
      <c r="B864" s="7"/>
      <c r="F864" s="68"/>
      <c r="J864" s="68"/>
    </row>
    <row r="865" ht="15.75" customHeight="1">
      <c r="B865" s="7"/>
      <c r="F865" s="68"/>
      <c r="J865" s="68"/>
    </row>
    <row r="866" ht="15.75" customHeight="1">
      <c r="B866" s="7"/>
      <c r="F866" s="68"/>
      <c r="J866" s="68"/>
    </row>
    <row r="867" ht="15.75" customHeight="1">
      <c r="B867" s="7"/>
      <c r="F867" s="68"/>
      <c r="J867" s="68"/>
    </row>
    <row r="868" ht="15.75" customHeight="1">
      <c r="B868" s="7"/>
      <c r="F868" s="68"/>
      <c r="J868" s="68"/>
    </row>
    <row r="869" ht="15.75" customHeight="1">
      <c r="B869" s="7"/>
      <c r="F869" s="68"/>
      <c r="J869" s="68"/>
    </row>
    <row r="870" ht="15.75" customHeight="1">
      <c r="B870" s="7"/>
      <c r="F870" s="68"/>
      <c r="J870" s="68"/>
    </row>
    <row r="871" ht="15.75" customHeight="1">
      <c r="B871" s="7"/>
      <c r="F871" s="68"/>
      <c r="J871" s="68"/>
    </row>
    <row r="872" ht="15.75" customHeight="1">
      <c r="B872" s="7"/>
      <c r="F872" s="68"/>
      <c r="J872" s="68"/>
    </row>
    <row r="873" ht="15.75" customHeight="1">
      <c r="B873" s="7"/>
      <c r="F873" s="68"/>
      <c r="J873" s="68"/>
    </row>
    <row r="874" ht="15.75" customHeight="1">
      <c r="B874" s="7"/>
      <c r="F874" s="68"/>
      <c r="J874" s="68"/>
    </row>
    <row r="875" ht="15.75" customHeight="1">
      <c r="B875" s="7"/>
      <c r="F875" s="68"/>
      <c r="J875" s="68"/>
    </row>
    <row r="876" ht="15.75" customHeight="1">
      <c r="B876" s="7"/>
      <c r="F876" s="68"/>
      <c r="J876" s="68"/>
    </row>
    <row r="877" ht="15.75" customHeight="1">
      <c r="B877" s="7"/>
      <c r="F877" s="68"/>
      <c r="J877" s="68"/>
    </row>
    <row r="878" ht="15.75" customHeight="1">
      <c r="B878" s="7"/>
      <c r="F878" s="68"/>
      <c r="J878" s="68"/>
    </row>
    <row r="879" ht="15.75" customHeight="1">
      <c r="B879" s="7"/>
      <c r="F879" s="68"/>
      <c r="J879" s="68"/>
    </row>
    <row r="880" ht="15.75" customHeight="1">
      <c r="B880" s="7"/>
      <c r="F880" s="68"/>
      <c r="J880" s="68"/>
    </row>
    <row r="881" ht="15.75" customHeight="1">
      <c r="B881" s="7"/>
      <c r="F881" s="68"/>
      <c r="J881" s="68"/>
    </row>
    <row r="882" ht="15.75" customHeight="1">
      <c r="B882" s="7"/>
      <c r="F882" s="68"/>
      <c r="J882" s="68"/>
    </row>
    <row r="883" ht="15.75" customHeight="1">
      <c r="B883" s="7"/>
      <c r="F883" s="68"/>
      <c r="J883" s="68"/>
    </row>
    <row r="884" ht="15.75" customHeight="1">
      <c r="B884" s="7"/>
      <c r="F884" s="68"/>
      <c r="J884" s="68"/>
    </row>
    <row r="885" ht="15.75" customHeight="1">
      <c r="B885" s="7"/>
      <c r="F885" s="68"/>
      <c r="J885" s="68"/>
    </row>
    <row r="886" ht="15.75" customHeight="1">
      <c r="B886" s="7"/>
      <c r="F886" s="68"/>
      <c r="J886" s="68"/>
    </row>
    <row r="887" ht="15.75" customHeight="1">
      <c r="B887" s="7"/>
      <c r="F887" s="68"/>
      <c r="J887" s="68"/>
    </row>
    <row r="888" ht="15.75" customHeight="1">
      <c r="B888" s="7"/>
      <c r="F888" s="68"/>
      <c r="J888" s="68"/>
    </row>
    <row r="889" ht="15.75" customHeight="1">
      <c r="B889" s="7"/>
      <c r="F889" s="68"/>
      <c r="J889" s="68"/>
    </row>
    <row r="890" ht="15.75" customHeight="1">
      <c r="B890" s="7"/>
      <c r="F890" s="68"/>
      <c r="J890" s="68"/>
    </row>
    <row r="891" ht="15.75" customHeight="1">
      <c r="B891" s="7"/>
      <c r="F891" s="68"/>
      <c r="J891" s="68"/>
    </row>
    <row r="892" ht="15.75" customHeight="1">
      <c r="B892" s="7"/>
      <c r="F892" s="68"/>
      <c r="J892" s="68"/>
    </row>
    <row r="893" ht="15.75" customHeight="1">
      <c r="B893" s="7"/>
      <c r="F893" s="68"/>
      <c r="J893" s="68"/>
    </row>
    <row r="894" ht="15.75" customHeight="1">
      <c r="B894" s="7"/>
      <c r="F894" s="68"/>
      <c r="J894" s="68"/>
    </row>
    <row r="895" ht="15.75" customHeight="1">
      <c r="B895" s="7"/>
      <c r="F895" s="68"/>
      <c r="J895" s="68"/>
    </row>
    <row r="896" ht="15.75" customHeight="1">
      <c r="B896" s="7"/>
      <c r="F896" s="68"/>
      <c r="J896" s="68"/>
    </row>
    <row r="897" ht="15.75" customHeight="1">
      <c r="B897" s="7"/>
      <c r="F897" s="68"/>
      <c r="J897" s="68"/>
    </row>
    <row r="898" ht="15.75" customHeight="1">
      <c r="B898" s="7"/>
      <c r="F898" s="68"/>
      <c r="J898" s="68"/>
    </row>
    <row r="899" ht="15.75" customHeight="1">
      <c r="B899" s="7"/>
      <c r="F899" s="68"/>
      <c r="J899" s="68"/>
    </row>
    <row r="900" ht="15.75" customHeight="1">
      <c r="B900" s="7"/>
      <c r="F900" s="68"/>
      <c r="J900" s="68"/>
    </row>
    <row r="901" ht="15.75" customHeight="1">
      <c r="B901" s="7"/>
      <c r="F901" s="68"/>
      <c r="J901" s="68"/>
    </row>
    <row r="902" ht="15.75" customHeight="1">
      <c r="B902" s="7"/>
      <c r="F902" s="68"/>
      <c r="J902" s="68"/>
    </row>
    <row r="903" ht="15.75" customHeight="1">
      <c r="B903" s="7"/>
      <c r="F903" s="68"/>
      <c r="J903" s="68"/>
    </row>
    <row r="904" ht="15.75" customHeight="1">
      <c r="B904" s="7"/>
      <c r="F904" s="68"/>
      <c r="J904" s="68"/>
    </row>
    <row r="905" ht="15.75" customHeight="1">
      <c r="B905" s="7"/>
      <c r="F905" s="68"/>
      <c r="J905" s="68"/>
    </row>
    <row r="906" ht="15.75" customHeight="1">
      <c r="B906" s="7"/>
      <c r="F906" s="68"/>
      <c r="J906" s="68"/>
    </row>
    <row r="907" ht="15.75" customHeight="1">
      <c r="B907" s="7"/>
      <c r="F907" s="68"/>
      <c r="J907" s="68"/>
    </row>
    <row r="908" ht="15.75" customHeight="1">
      <c r="B908" s="7"/>
      <c r="F908" s="68"/>
      <c r="J908" s="68"/>
    </row>
    <row r="909" ht="15.75" customHeight="1">
      <c r="B909" s="7"/>
      <c r="F909" s="68"/>
      <c r="J909" s="68"/>
    </row>
    <row r="910" ht="15.75" customHeight="1">
      <c r="B910" s="7"/>
      <c r="F910" s="68"/>
      <c r="J910" s="68"/>
    </row>
    <row r="911" ht="15.75" customHeight="1">
      <c r="B911" s="7"/>
      <c r="F911" s="68"/>
      <c r="J911" s="68"/>
    </row>
    <row r="912" ht="15.75" customHeight="1">
      <c r="B912" s="7"/>
      <c r="F912" s="68"/>
      <c r="J912" s="68"/>
    </row>
    <row r="913" ht="15.75" customHeight="1">
      <c r="B913" s="7"/>
      <c r="F913" s="68"/>
      <c r="J913" s="68"/>
    </row>
    <row r="914" ht="15.75" customHeight="1">
      <c r="B914" s="7"/>
      <c r="F914" s="68"/>
      <c r="J914" s="68"/>
    </row>
    <row r="915" ht="15.75" customHeight="1">
      <c r="B915" s="7"/>
      <c r="F915" s="68"/>
      <c r="J915" s="68"/>
    </row>
    <row r="916" ht="15.75" customHeight="1">
      <c r="B916" s="7"/>
      <c r="F916" s="68"/>
      <c r="J916" s="68"/>
    </row>
    <row r="917" ht="15.75" customHeight="1">
      <c r="B917" s="7"/>
      <c r="F917" s="68"/>
      <c r="J917" s="68"/>
    </row>
    <row r="918" ht="15.75" customHeight="1">
      <c r="B918" s="7"/>
      <c r="F918" s="68"/>
      <c r="J918" s="68"/>
    </row>
    <row r="919" ht="15.75" customHeight="1">
      <c r="B919" s="7"/>
      <c r="F919" s="68"/>
      <c r="J919" s="68"/>
    </row>
    <row r="920" ht="15.75" customHeight="1">
      <c r="B920" s="7"/>
      <c r="F920" s="68"/>
      <c r="J920" s="68"/>
    </row>
    <row r="921" ht="15.75" customHeight="1">
      <c r="B921" s="7"/>
      <c r="F921" s="68"/>
      <c r="J921" s="68"/>
    </row>
    <row r="922" ht="15.75" customHeight="1">
      <c r="B922" s="7"/>
      <c r="F922" s="68"/>
      <c r="J922" s="68"/>
    </row>
    <row r="923" ht="15.75" customHeight="1">
      <c r="B923" s="7"/>
      <c r="F923" s="68"/>
      <c r="J923" s="68"/>
    </row>
    <row r="924" ht="15.75" customHeight="1">
      <c r="B924" s="7"/>
      <c r="F924" s="68"/>
      <c r="J924" s="68"/>
    </row>
    <row r="925" ht="15.75" customHeight="1">
      <c r="B925" s="7"/>
      <c r="F925" s="68"/>
      <c r="J925" s="68"/>
    </row>
    <row r="926" ht="15.75" customHeight="1">
      <c r="B926" s="7"/>
      <c r="F926" s="68"/>
      <c r="J926" s="68"/>
    </row>
    <row r="927" ht="15.75" customHeight="1">
      <c r="B927" s="7"/>
      <c r="F927" s="68"/>
      <c r="J927" s="68"/>
    </row>
    <row r="928" ht="15.75" customHeight="1">
      <c r="B928" s="7"/>
      <c r="F928" s="68"/>
      <c r="J928" s="68"/>
    </row>
    <row r="929" ht="15.75" customHeight="1">
      <c r="B929" s="7"/>
      <c r="F929" s="68"/>
      <c r="J929" s="68"/>
    </row>
    <row r="930" ht="15.75" customHeight="1">
      <c r="B930" s="7"/>
      <c r="F930" s="68"/>
      <c r="J930" s="68"/>
    </row>
    <row r="931" ht="15.75" customHeight="1">
      <c r="B931" s="7"/>
      <c r="F931" s="68"/>
      <c r="J931" s="68"/>
    </row>
    <row r="932" ht="15.75" customHeight="1">
      <c r="B932" s="7"/>
      <c r="F932" s="68"/>
      <c r="J932" s="68"/>
    </row>
    <row r="933" ht="15.75" customHeight="1">
      <c r="B933" s="7"/>
      <c r="F933" s="68"/>
      <c r="J933" s="68"/>
    </row>
    <row r="934" ht="15.75" customHeight="1">
      <c r="B934" s="7"/>
      <c r="F934" s="68"/>
      <c r="J934" s="68"/>
    </row>
    <row r="935" ht="15.75" customHeight="1">
      <c r="B935" s="7"/>
      <c r="F935" s="68"/>
      <c r="J935" s="68"/>
    </row>
    <row r="936" ht="15.75" customHeight="1">
      <c r="B936" s="7"/>
      <c r="F936" s="68"/>
      <c r="J936" s="68"/>
    </row>
    <row r="937" ht="15.75" customHeight="1">
      <c r="B937" s="7"/>
      <c r="F937" s="68"/>
      <c r="J937" s="68"/>
    </row>
    <row r="938" ht="15.75" customHeight="1">
      <c r="B938" s="7"/>
      <c r="F938" s="68"/>
      <c r="J938" s="68"/>
    </row>
    <row r="939" ht="15.75" customHeight="1">
      <c r="B939" s="7"/>
      <c r="F939" s="68"/>
      <c r="J939" s="68"/>
    </row>
    <row r="940" ht="15.75" customHeight="1">
      <c r="B940" s="7"/>
      <c r="F940" s="68"/>
      <c r="J940" s="68"/>
    </row>
    <row r="941" ht="15.75" customHeight="1">
      <c r="B941" s="7"/>
      <c r="F941" s="68"/>
      <c r="J941" s="68"/>
    </row>
    <row r="942" ht="15.75" customHeight="1">
      <c r="B942" s="7"/>
      <c r="F942" s="68"/>
      <c r="J942" s="68"/>
    </row>
    <row r="943" ht="15.75" customHeight="1">
      <c r="B943" s="7"/>
      <c r="F943" s="68"/>
      <c r="J943" s="68"/>
    </row>
    <row r="944" ht="15.75" customHeight="1">
      <c r="B944" s="7"/>
      <c r="F944" s="68"/>
      <c r="J944" s="68"/>
    </row>
    <row r="945" ht="15.75" customHeight="1">
      <c r="B945" s="7"/>
      <c r="F945" s="68"/>
      <c r="J945" s="68"/>
    </row>
    <row r="946" ht="15.75" customHeight="1">
      <c r="B946" s="7"/>
      <c r="F946" s="68"/>
      <c r="J946" s="68"/>
    </row>
    <row r="947" ht="15.75" customHeight="1">
      <c r="B947" s="7"/>
      <c r="F947" s="68"/>
      <c r="J947" s="68"/>
    </row>
    <row r="948" ht="15.75" customHeight="1">
      <c r="B948" s="7"/>
      <c r="F948" s="68"/>
      <c r="J948" s="68"/>
    </row>
    <row r="949" ht="15.75" customHeight="1">
      <c r="B949" s="7"/>
      <c r="F949" s="68"/>
      <c r="J949" s="68"/>
    </row>
    <row r="950" ht="15.75" customHeight="1">
      <c r="B950" s="7"/>
      <c r="F950" s="68"/>
      <c r="J950" s="68"/>
    </row>
    <row r="951" ht="15.75" customHeight="1">
      <c r="B951" s="7"/>
      <c r="F951" s="68"/>
      <c r="J951" s="68"/>
    </row>
    <row r="952" ht="15.75" customHeight="1">
      <c r="B952" s="7"/>
      <c r="F952" s="68"/>
      <c r="J952" s="68"/>
    </row>
    <row r="953" ht="15.75" customHeight="1">
      <c r="B953" s="7"/>
      <c r="F953" s="68"/>
      <c r="J953" s="68"/>
    </row>
    <row r="954" ht="15.75" customHeight="1">
      <c r="B954" s="7"/>
      <c r="F954" s="68"/>
      <c r="J954" s="68"/>
    </row>
    <row r="955" ht="15.75" customHeight="1">
      <c r="B955" s="7"/>
      <c r="F955" s="68"/>
      <c r="J955" s="68"/>
    </row>
    <row r="956" ht="15.75" customHeight="1">
      <c r="B956" s="7"/>
      <c r="F956" s="68"/>
      <c r="J956" s="68"/>
    </row>
    <row r="957" ht="15.75" customHeight="1">
      <c r="B957" s="7"/>
      <c r="F957" s="68"/>
      <c r="J957" s="68"/>
    </row>
    <row r="958" ht="15.75" customHeight="1">
      <c r="B958" s="7"/>
      <c r="F958" s="68"/>
      <c r="J958" s="68"/>
    </row>
    <row r="959" ht="15.75" customHeight="1">
      <c r="B959" s="7"/>
      <c r="F959" s="68"/>
      <c r="J959" s="68"/>
    </row>
    <row r="960" ht="15.75" customHeight="1">
      <c r="B960" s="7"/>
      <c r="F960" s="68"/>
      <c r="J960" s="68"/>
    </row>
    <row r="961" ht="15.75" customHeight="1">
      <c r="B961" s="7"/>
      <c r="F961" s="68"/>
      <c r="J961" s="68"/>
    </row>
    <row r="962" ht="15.75" customHeight="1">
      <c r="B962" s="7"/>
      <c r="F962" s="68"/>
      <c r="J962" s="68"/>
    </row>
    <row r="963" ht="15.75" customHeight="1">
      <c r="B963" s="7"/>
      <c r="F963" s="68"/>
      <c r="J963" s="68"/>
    </row>
    <row r="964" ht="15.75" customHeight="1">
      <c r="B964" s="7"/>
      <c r="F964" s="68"/>
      <c r="J964" s="68"/>
    </row>
    <row r="965" ht="15.75" customHeight="1">
      <c r="B965" s="7"/>
      <c r="F965" s="68"/>
      <c r="J965" s="68"/>
    </row>
    <row r="966" ht="15.75" customHeight="1">
      <c r="B966" s="7"/>
      <c r="F966" s="68"/>
      <c r="J966" s="68"/>
    </row>
    <row r="967" ht="15.75" customHeight="1">
      <c r="B967" s="7"/>
      <c r="F967" s="68"/>
      <c r="J967" s="68"/>
    </row>
    <row r="968" ht="15.75" customHeight="1">
      <c r="B968" s="7"/>
      <c r="F968" s="68"/>
      <c r="J968" s="68"/>
    </row>
    <row r="969" ht="15.75" customHeight="1">
      <c r="B969" s="7"/>
      <c r="F969" s="68"/>
      <c r="J969" s="68"/>
    </row>
    <row r="970" ht="15.75" customHeight="1">
      <c r="B970" s="7"/>
      <c r="F970" s="68"/>
      <c r="J970" s="68"/>
    </row>
    <row r="971" ht="15.75" customHeight="1">
      <c r="B971" s="7"/>
      <c r="F971" s="68"/>
      <c r="J971" s="68"/>
    </row>
    <row r="972" ht="15.75" customHeight="1">
      <c r="B972" s="7"/>
      <c r="F972" s="68"/>
      <c r="J972" s="68"/>
    </row>
    <row r="973" ht="15.75" customHeight="1">
      <c r="B973" s="7"/>
      <c r="F973" s="68"/>
      <c r="J973" s="68"/>
    </row>
    <row r="974" ht="15.75" customHeight="1">
      <c r="B974" s="7"/>
      <c r="F974" s="68"/>
      <c r="J974" s="68"/>
    </row>
    <row r="975" ht="15.75" customHeight="1">
      <c r="B975" s="7"/>
      <c r="F975" s="68"/>
      <c r="J975" s="68"/>
    </row>
    <row r="976" ht="15.75" customHeight="1">
      <c r="B976" s="7"/>
      <c r="F976" s="68"/>
      <c r="J976" s="68"/>
    </row>
    <row r="977" ht="15.75" customHeight="1">
      <c r="B977" s="7"/>
      <c r="F977" s="68"/>
      <c r="J977" s="68"/>
    </row>
    <row r="978" ht="15.75" customHeight="1">
      <c r="B978" s="7"/>
      <c r="F978" s="68"/>
      <c r="J978" s="68"/>
    </row>
    <row r="979" ht="15.75" customHeight="1">
      <c r="B979" s="7"/>
      <c r="F979" s="68"/>
      <c r="J979" s="68"/>
    </row>
    <row r="980" ht="15.75" customHeight="1">
      <c r="B980" s="7"/>
      <c r="F980" s="68"/>
      <c r="J980" s="68"/>
    </row>
    <row r="981" ht="15.75" customHeight="1">
      <c r="B981" s="7"/>
      <c r="F981" s="68"/>
      <c r="J981" s="68"/>
    </row>
    <row r="982" ht="15.75" customHeight="1">
      <c r="B982" s="7"/>
      <c r="F982" s="68"/>
      <c r="J982" s="68"/>
    </row>
    <row r="983" ht="15.75" customHeight="1">
      <c r="B983" s="7"/>
      <c r="F983" s="68"/>
      <c r="J983" s="68"/>
    </row>
    <row r="984" ht="15.75" customHeight="1">
      <c r="B984" s="7"/>
      <c r="F984" s="68"/>
      <c r="J984" s="68"/>
    </row>
    <row r="985" ht="15.75" customHeight="1">
      <c r="B985" s="7"/>
      <c r="F985" s="68"/>
      <c r="J985" s="68"/>
    </row>
    <row r="986" ht="15.75" customHeight="1">
      <c r="B986" s="7"/>
      <c r="F986" s="68"/>
      <c r="J986" s="68"/>
    </row>
    <row r="987" ht="15.75" customHeight="1">
      <c r="B987" s="7"/>
      <c r="F987" s="68"/>
      <c r="J987" s="68"/>
    </row>
    <row r="988" ht="15.75" customHeight="1">
      <c r="B988" s="7"/>
      <c r="F988" s="68"/>
      <c r="J988" s="68"/>
    </row>
    <row r="989" ht="15.75" customHeight="1">
      <c r="B989" s="7"/>
      <c r="F989" s="68"/>
      <c r="J989" s="68"/>
    </row>
    <row r="990" ht="15.75" customHeight="1">
      <c r="B990" s="7"/>
      <c r="F990" s="68"/>
      <c r="J990" s="68"/>
    </row>
    <row r="991" ht="15.75" customHeight="1">
      <c r="B991" s="7"/>
      <c r="F991" s="68"/>
      <c r="J991" s="68"/>
    </row>
    <row r="992" ht="15.75" customHeight="1">
      <c r="B992" s="7"/>
      <c r="F992" s="68"/>
      <c r="J992" s="68"/>
    </row>
    <row r="993" ht="15.75" customHeight="1">
      <c r="B993" s="7"/>
      <c r="F993" s="68"/>
      <c r="J993" s="68"/>
    </row>
    <row r="994" ht="15.75" customHeight="1">
      <c r="B994" s="7"/>
      <c r="F994" s="68"/>
      <c r="J994" s="68"/>
    </row>
    <row r="995" ht="15.75" customHeight="1">
      <c r="B995" s="7"/>
      <c r="F995" s="68"/>
      <c r="J995" s="68"/>
    </row>
    <row r="996" ht="15.75" customHeight="1">
      <c r="B996" s="7"/>
      <c r="F996" s="68"/>
      <c r="J996" s="68"/>
    </row>
    <row r="997" ht="15.75" customHeight="1">
      <c r="B997" s="7"/>
      <c r="F997" s="68"/>
      <c r="J997" s="68"/>
    </row>
    <row r="998" ht="15.75" customHeight="1">
      <c r="B998" s="7"/>
      <c r="F998" s="68"/>
      <c r="J998" s="68"/>
    </row>
    <row r="999" ht="15.75" customHeight="1">
      <c r="B999" s="7"/>
      <c r="F999" s="68"/>
      <c r="J999" s="68"/>
    </row>
    <row r="1000" ht="15.75" customHeight="1">
      <c r="B1000" s="7"/>
      <c r="F1000" s="68"/>
      <c r="J1000" s="6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  <col customWidth="1" min="10" max="10" width="14.71"/>
    <col customWidth="1" min="11" max="11" width="15.29"/>
    <col customWidth="1" min="12" max="12" width="15.86"/>
    <col customWidth="1" min="13" max="13" width="24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33</v>
      </c>
      <c r="I1" s="4" t="s">
        <v>34</v>
      </c>
      <c r="J1" s="4" t="s">
        <v>99</v>
      </c>
      <c r="K1" s="4" t="s">
        <v>100</v>
      </c>
      <c r="L1" s="4" t="s">
        <v>101</v>
      </c>
      <c r="M1" s="4" t="s">
        <v>102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  <c r="J2" s="6">
        <f t="shared" ref="J2:J201" si="3">IF(AND(C2="Smartphones", OR(B2="Mar", B2="Jun", B2="Sep")), D2*1.25, D2)</f>
        <v>870</v>
      </c>
      <c r="K2" s="6">
        <f t="shared" ref="K2:K201" si="4">IF(AND(C2="Smartphones", OR(B2="Mar", B2="Jun", B2="Sep")), E2*0.9, E2)</f>
        <v>5429.54</v>
      </c>
      <c r="L2" s="6">
        <f t="shared" ref="L2:L201" si="5">$K2*$J2</f>
        <v>4723699.8</v>
      </c>
      <c r="M2" s="6">
        <f t="shared" ref="M2:M201" si="6">(K2-H2)*J2</f>
        <v>1889479.92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  <c r="H3" s="6">
        <f t="shared" si="1"/>
        <v>4294.146</v>
      </c>
      <c r="I3" s="6">
        <f t="shared" si="2"/>
        <v>821613.268</v>
      </c>
      <c r="J3" s="6">
        <f t="shared" si="3"/>
        <v>287</v>
      </c>
      <c r="K3" s="6">
        <f t="shared" si="4"/>
        <v>7156.91</v>
      </c>
      <c r="L3" s="6">
        <f t="shared" si="5"/>
        <v>2054033.17</v>
      </c>
      <c r="M3" s="6">
        <f t="shared" si="6"/>
        <v>821613.268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  <c r="H4" s="6">
        <f t="shared" si="1"/>
        <v>4034.37</v>
      </c>
      <c r="I4" s="6">
        <f t="shared" si="2"/>
        <v>938663.42</v>
      </c>
      <c r="J4" s="6">
        <f t="shared" si="3"/>
        <v>349</v>
      </c>
      <c r="K4" s="6">
        <f t="shared" si="4"/>
        <v>6723.95</v>
      </c>
      <c r="L4" s="6">
        <f t="shared" si="5"/>
        <v>2346658.55</v>
      </c>
      <c r="M4" s="6">
        <f t="shared" si="6"/>
        <v>938663.42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  <c r="H5" s="6">
        <f t="shared" si="1"/>
        <v>3160.86</v>
      </c>
      <c r="I5" s="6">
        <f t="shared" si="2"/>
        <v>1601502.4</v>
      </c>
      <c r="J5" s="6">
        <f t="shared" si="3"/>
        <v>760</v>
      </c>
      <c r="K5" s="6">
        <f t="shared" si="4"/>
        <v>5268.1</v>
      </c>
      <c r="L5" s="6">
        <f t="shared" si="5"/>
        <v>4003756</v>
      </c>
      <c r="M5" s="6">
        <f t="shared" si="6"/>
        <v>1601502.4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  <c r="H6" s="6">
        <f t="shared" si="1"/>
        <v>2887.308</v>
      </c>
      <c r="I6" s="6">
        <f t="shared" si="2"/>
        <v>2232851.52</v>
      </c>
      <c r="J6" s="6">
        <f t="shared" si="3"/>
        <v>1160</v>
      </c>
      <c r="K6" s="6">
        <f t="shared" si="4"/>
        <v>4812.18</v>
      </c>
      <c r="L6" s="6">
        <f t="shared" si="5"/>
        <v>5582128.8</v>
      </c>
      <c r="M6" s="6">
        <f t="shared" si="6"/>
        <v>2232851.52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  <c r="H7" s="6">
        <f t="shared" si="1"/>
        <v>4128.618</v>
      </c>
      <c r="I7" s="6">
        <f t="shared" si="2"/>
        <v>1219318.516</v>
      </c>
      <c r="J7" s="6">
        <f t="shared" si="3"/>
        <v>443</v>
      </c>
      <c r="K7" s="6">
        <f t="shared" si="4"/>
        <v>6881.03</v>
      </c>
      <c r="L7" s="6">
        <f t="shared" si="5"/>
        <v>3048296.29</v>
      </c>
      <c r="M7" s="6">
        <f t="shared" si="6"/>
        <v>1219318.516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  <c r="H8" s="6">
        <f t="shared" si="1"/>
        <v>3911.952</v>
      </c>
      <c r="I8" s="6">
        <f t="shared" si="2"/>
        <v>871061.312</v>
      </c>
      <c r="J8" s="6">
        <f t="shared" si="3"/>
        <v>334</v>
      </c>
      <c r="K8" s="6">
        <f t="shared" si="4"/>
        <v>6519.92</v>
      </c>
      <c r="L8" s="6">
        <f t="shared" si="5"/>
        <v>2177653.28</v>
      </c>
      <c r="M8" s="6">
        <f t="shared" si="6"/>
        <v>871061.312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  <c r="H9" s="6">
        <f t="shared" si="1"/>
        <v>4190.538</v>
      </c>
      <c r="I9" s="6">
        <f t="shared" si="2"/>
        <v>1293479.396</v>
      </c>
      <c r="J9" s="6">
        <f t="shared" si="3"/>
        <v>463</v>
      </c>
      <c r="K9" s="6">
        <f t="shared" si="4"/>
        <v>6984.23</v>
      </c>
      <c r="L9" s="6">
        <f t="shared" si="5"/>
        <v>3233698.49</v>
      </c>
      <c r="M9" s="6">
        <f t="shared" si="6"/>
        <v>1293479.396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  <c r="J10" s="6">
        <f t="shared" si="3"/>
        <v>203</v>
      </c>
      <c r="K10" s="6">
        <f t="shared" si="4"/>
        <v>21142.61</v>
      </c>
      <c r="L10" s="6">
        <f t="shared" si="5"/>
        <v>4291949.83</v>
      </c>
      <c r="M10" s="6">
        <f t="shared" si="6"/>
        <v>1716779.932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  <c r="J11" s="6">
        <f t="shared" si="3"/>
        <v>1251.25</v>
      </c>
      <c r="K11" s="6">
        <f t="shared" si="4"/>
        <v>5044.365</v>
      </c>
      <c r="L11" s="6">
        <f t="shared" si="5"/>
        <v>6311761.706</v>
      </c>
      <c r="M11" s="6">
        <f t="shared" si="6"/>
        <v>2103920.569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  <c r="H12" s="6">
        <f t="shared" si="1"/>
        <v>12464.55</v>
      </c>
      <c r="I12" s="6">
        <f t="shared" si="2"/>
        <v>938996.1</v>
      </c>
      <c r="J12" s="6">
        <f t="shared" si="3"/>
        <v>113</v>
      </c>
      <c r="K12" s="6">
        <f t="shared" si="4"/>
        <v>20774.25</v>
      </c>
      <c r="L12" s="6">
        <f t="shared" si="5"/>
        <v>2347490.25</v>
      </c>
      <c r="M12" s="6">
        <f t="shared" si="6"/>
        <v>938996.1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  <c r="J13" s="6">
        <f t="shared" si="3"/>
        <v>937</v>
      </c>
      <c r="K13" s="6">
        <f t="shared" si="4"/>
        <v>5537.73</v>
      </c>
      <c r="L13" s="6">
        <f t="shared" si="5"/>
        <v>5188853.01</v>
      </c>
      <c r="M13" s="6">
        <f t="shared" si="6"/>
        <v>2075541.204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  <c r="J14" s="6">
        <f t="shared" si="3"/>
        <v>787</v>
      </c>
      <c r="K14" s="6">
        <f t="shared" si="4"/>
        <v>5073.89</v>
      </c>
      <c r="L14" s="6">
        <f t="shared" si="5"/>
        <v>3993151.43</v>
      </c>
      <c r="M14" s="6">
        <f t="shared" si="6"/>
        <v>1597260.572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  <c r="J15" s="6">
        <f t="shared" si="3"/>
        <v>208</v>
      </c>
      <c r="K15" s="6">
        <f t="shared" si="4"/>
        <v>6740.33</v>
      </c>
      <c r="L15" s="6">
        <f t="shared" si="5"/>
        <v>1401988.64</v>
      </c>
      <c r="M15" s="6">
        <f t="shared" si="6"/>
        <v>560795.456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  <c r="J16" s="6">
        <f t="shared" si="3"/>
        <v>338</v>
      </c>
      <c r="K16" s="6">
        <f t="shared" si="4"/>
        <v>6890.89</v>
      </c>
      <c r="L16" s="6">
        <f t="shared" si="5"/>
        <v>2329120.82</v>
      </c>
      <c r="M16" s="6">
        <f t="shared" si="6"/>
        <v>931648.328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  <c r="J17" s="6">
        <f t="shared" si="3"/>
        <v>240</v>
      </c>
      <c r="K17" s="6">
        <f t="shared" si="4"/>
        <v>6427.98</v>
      </c>
      <c r="L17" s="6">
        <f t="shared" si="5"/>
        <v>1542715.2</v>
      </c>
      <c r="M17" s="6">
        <f t="shared" si="6"/>
        <v>617086.08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  <c r="H18" s="6">
        <f t="shared" si="1"/>
        <v>709.338</v>
      </c>
      <c r="I18" s="6">
        <f t="shared" si="2"/>
        <v>204289.344</v>
      </c>
      <c r="J18" s="6">
        <f t="shared" si="3"/>
        <v>432</v>
      </c>
      <c r="K18" s="6">
        <f t="shared" si="4"/>
        <v>1182.23</v>
      </c>
      <c r="L18" s="6">
        <f t="shared" si="5"/>
        <v>510723.36</v>
      </c>
      <c r="M18" s="6">
        <f t="shared" si="6"/>
        <v>204289.344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  <c r="H19" s="6">
        <f t="shared" si="1"/>
        <v>695.376</v>
      </c>
      <c r="I19" s="6">
        <f t="shared" si="2"/>
        <v>521532</v>
      </c>
      <c r="J19" s="6">
        <f t="shared" si="3"/>
        <v>1125</v>
      </c>
      <c r="K19" s="6">
        <f t="shared" si="4"/>
        <v>1158.96</v>
      </c>
      <c r="L19" s="6">
        <f t="shared" si="5"/>
        <v>1303830</v>
      </c>
      <c r="M19" s="6">
        <f t="shared" si="6"/>
        <v>521532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  <c r="J20" s="6">
        <f t="shared" si="3"/>
        <v>1326.25</v>
      </c>
      <c r="K20" s="6">
        <f t="shared" si="4"/>
        <v>4854.204</v>
      </c>
      <c r="L20" s="6">
        <f t="shared" si="5"/>
        <v>6437888.055</v>
      </c>
      <c r="M20" s="6">
        <f t="shared" si="6"/>
        <v>2145962.685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  <c r="J21" s="6">
        <f t="shared" si="3"/>
        <v>806</v>
      </c>
      <c r="K21" s="6">
        <f t="shared" si="4"/>
        <v>5447.22</v>
      </c>
      <c r="L21" s="6">
        <f t="shared" si="5"/>
        <v>4390459.32</v>
      </c>
      <c r="M21" s="6">
        <f t="shared" si="6"/>
        <v>1756183.728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  <c r="J22" s="6">
        <f t="shared" si="3"/>
        <v>1174</v>
      </c>
      <c r="K22" s="6">
        <f t="shared" si="4"/>
        <v>5288.04</v>
      </c>
      <c r="L22" s="6">
        <f t="shared" si="5"/>
        <v>6208158.96</v>
      </c>
      <c r="M22" s="6">
        <f t="shared" si="6"/>
        <v>2483263.584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  <c r="H23" s="6">
        <f t="shared" si="1"/>
        <v>4193.01</v>
      </c>
      <c r="I23" s="6">
        <f t="shared" si="2"/>
        <v>1201996.2</v>
      </c>
      <c r="J23" s="6">
        <f t="shared" si="3"/>
        <v>430</v>
      </c>
      <c r="K23" s="6">
        <f t="shared" si="4"/>
        <v>6988.35</v>
      </c>
      <c r="L23" s="6">
        <f t="shared" si="5"/>
        <v>3004990.5</v>
      </c>
      <c r="M23" s="6">
        <f t="shared" si="6"/>
        <v>1201996.2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  <c r="J24" s="6">
        <f t="shared" si="3"/>
        <v>442</v>
      </c>
      <c r="K24" s="6">
        <f t="shared" si="4"/>
        <v>6850.43</v>
      </c>
      <c r="L24" s="6">
        <f t="shared" si="5"/>
        <v>3027890.06</v>
      </c>
      <c r="M24" s="6">
        <f t="shared" si="6"/>
        <v>1211156.024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  <c r="H25" s="6">
        <f t="shared" si="1"/>
        <v>789.492</v>
      </c>
      <c r="I25" s="6">
        <f t="shared" si="2"/>
        <v>476326.84</v>
      </c>
      <c r="J25" s="6">
        <f t="shared" si="3"/>
        <v>905</v>
      </c>
      <c r="K25" s="6">
        <f t="shared" si="4"/>
        <v>1315.82</v>
      </c>
      <c r="L25" s="6">
        <f t="shared" si="5"/>
        <v>1190817.1</v>
      </c>
      <c r="M25" s="6">
        <f t="shared" si="6"/>
        <v>476326.84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  <c r="J26" s="6">
        <f t="shared" si="3"/>
        <v>228</v>
      </c>
      <c r="K26" s="6">
        <f t="shared" si="4"/>
        <v>21186.31</v>
      </c>
      <c r="L26" s="6">
        <f t="shared" si="5"/>
        <v>4830478.68</v>
      </c>
      <c r="M26" s="6">
        <f t="shared" si="6"/>
        <v>1932191.472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  <c r="H27" s="6">
        <f t="shared" si="1"/>
        <v>3756.57</v>
      </c>
      <c r="I27" s="6">
        <f t="shared" si="2"/>
        <v>994238.86</v>
      </c>
      <c r="J27" s="6">
        <f t="shared" si="3"/>
        <v>397</v>
      </c>
      <c r="K27" s="6">
        <f t="shared" si="4"/>
        <v>6260.95</v>
      </c>
      <c r="L27" s="6">
        <f t="shared" si="5"/>
        <v>2485597.15</v>
      </c>
      <c r="M27" s="6">
        <f t="shared" si="6"/>
        <v>994238.86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  <c r="J28" s="6">
        <f t="shared" si="3"/>
        <v>833</v>
      </c>
      <c r="K28" s="6">
        <f t="shared" si="4"/>
        <v>5390.59</v>
      </c>
      <c r="L28" s="6">
        <f t="shared" si="5"/>
        <v>4490361.47</v>
      </c>
      <c r="M28" s="6">
        <f t="shared" si="6"/>
        <v>1796144.588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  <c r="H29" s="6">
        <f t="shared" si="1"/>
        <v>710.034</v>
      </c>
      <c r="I29" s="6">
        <f t="shared" si="2"/>
        <v>242358.272</v>
      </c>
      <c r="J29" s="6">
        <f t="shared" si="3"/>
        <v>512</v>
      </c>
      <c r="K29" s="6">
        <f t="shared" si="4"/>
        <v>1183.39</v>
      </c>
      <c r="L29" s="6">
        <f t="shared" si="5"/>
        <v>605895.68</v>
      </c>
      <c r="M29" s="6">
        <f t="shared" si="6"/>
        <v>242358.272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  <c r="J30" s="6">
        <f t="shared" si="3"/>
        <v>909</v>
      </c>
      <c r="K30" s="6">
        <f t="shared" si="4"/>
        <v>1308.67</v>
      </c>
      <c r="L30" s="6">
        <f t="shared" si="5"/>
        <v>1189581.03</v>
      </c>
      <c r="M30" s="6">
        <f t="shared" si="6"/>
        <v>475832.412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  <c r="H31" s="6">
        <f t="shared" si="1"/>
        <v>4200.9</v>
      </c>
      <c r="I31" s="6">
        <f t="shared" si="2"/>
        <v>873787.2</v>
      </c>
      <c r="J31" s="6">
        <f t="shared" si="3"/>
        <v>312</v>
      </c>
      <c r="K31" s="6">
        <f t="shared" si="4"/>
        <v>7001.5</v>
      </c>
      <c r="L31" s="6">
        <f t="shared" si="5"/>
        <v>2184468</v>
      </c>
      <c r="M31" s="6">
        <f t="shared" si="6"/>
        <v>873787.2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  <c r="J32" s="6">
        <f t="shared" si="3"/>
        <v>824</v>
      </c>
      <c r="K32" s="6">
        <f t="shared" si="4"/>
        <v>5586.7</v>
      </c>
      <c r="L32" s="6">
        <f t="shared" si="5"/>
        <v>4603440.8</v>
      </c>
      <c r="M32" s="6">
        <f t="shared" si="6"/>
        <v>1841376.32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  <c r="H33" s="6">
        <f t="shared" si="1"/>
        <v>783.948</v>
      </c>
      <c r="I33" s="6">
        <f t="shared" si="2"/>
        <v>337620.272</v>
      </c>
      <c r="J33" s="6">
        <f t="shared" si="3"/>
        <v>646</v>
      </c>
      <c r="K33" s="6">
        <f t="shared" si="4"/>
        <v>1306.58</v>
      </c>
      <c r="L33" s="6">
        <f t="shared" si="5"/>
        <v>844050.68</v>
      </c>
      <c r="M33" s="6">
        <f t="shared" si="6"/>
        <v>337620.272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  <c r="J34" s="6">
        <f t="shared" si="3"/>
        <v>893</v>
      </c>
      <c r="K34" s="6">
        <f t="shared" si="4"/>
        <v>5580.56</v>
      </c>
      <c r="L34" s="6">
        <f t="shared" si="5"/>
        <v>4983440.08</v>
      </c>
      <c r="M34" s="6">
        <f t="shared" si="6"/>
        <v>1993376.032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  <c r="H35" s="6">
        <f t="shared" si="1"/>
        <v>635.886</v>
      </c>
      <c r="I35" s="6">
        <f t="shared" si="2"/>
        <v>248419.464</v>
      </c>
      <c r="J35" s="6">
        <f t="shared" si="3"/>
        <v>586</v>
      </c>
      <c r="K35" s="6">
        <f t="shared" si="4"/>
        <v>1059.81</v>
      </c>
      <c r="L35" s="6">
        <f t="shared" si="5"/>
        <v>621048.66</v>
      </c>
      <c r="M35" s="6">
        <f t="shared" si="6"/>
        <v>248419.464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  <c r="H36" s="6">
        <f t="shared" si="1"/>
        <v>773.25</v>
      </c>
      <c r="I36" s="6">
        <f t="shared" si="2"/>
        <v>413431</v>
      </c>
      <c r="J36" s="6">
        <f t="shared" si="3"/>
        <v>802</v>
      </c>
      <c r="K36" s="6">
        <f t="shared" si="4"/>
        <v>1288.75</v>
      </c>
      <c r="L36" s="6">
        <f t="shared" si="5"/>
        <v>1033577.5</v>
      </c>
      <c r="M36" s="6">
        <f t="shared" si="6"/>
        <v>413431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  <c r="H37" s="6">
        <f t="shared" si="1"/>
        <v>3252.66</v>
      </c>
      <c r="I37" s="6">
        <f t="shared" si="2"/>
        <v>2493706</v>
      </c>
      <c r="J37" s="6">
        <f t="shared" si="3"/>
        <v>1150</v>
      </c>
      <c r="K37" s="6">
        <f t="shared" si="4"/>
        <v>5421.1</v>
      </c>
      <c r="L37" s="6">
        <f t="shared" si="5"/>
        <v>6234265</v>
      </c>
      <c r="M37" s="6">
        <f t="shared" si="6"/>
        <v>2493706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  <c r="J38" s="6">
        <f t="shared" si="3"/>
        <v>872</v>
      </c>
      <c r="K38" s="6">
        <f t="shared" si="4"/>
        <v>1220.57</v>
      </c>
      <c r="L38" s="6">
        <f t="shared" si="5"/>
        <v>1064337.04</v>
      </c>
      <c r="M38" s="6">
        <f t="shared" si="6"/>
        <v>425734.816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  <c r="H39" s="6">
        <f t="shared" si="1"/>
        <v>633.39</v>
      </c>
      <c r="I39" s="6">
        <f t="shared" si="2"/>
        <v>314583.7</v>
      </c>
      <c r="J39" s="6">
        <f t="shared" si="3"/>
        <v>745</v>
      </c>
      <c r="K39" s="6">
        <f t="shared" si="4"/>
        <v>1055.65</v>
      </c>
      <c r="L39" s="6">
        <f t="shared" si="5"/>
        <v>786459.25</v>
      </c>
      <c r="M39" s="6">
        <f t="shared" si="6"/>
        <v>314583.7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  <c r="J40" s="6">
        <f t="shared" si="3"/>
        <v>601</v>
      </c>
      <c r="K40" s="6">
        <f t="shared" si="4"/>
        <v>5500.1</v>
      </c>
      <c r="L40" s="6">
        <f t="shared" si="5"/>
        <v>3305560.1</v>
      </c>
      <c r="M40" s="6">
        <f t="shared" si="6"/>
        <v>1322224.04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  <c r="J41" s="6">
        <f t="shared" si="3"/>
        <v>407</v>
      </c>
      <c r="K41" s="6">
        <f t="shared" si="4"/>
        <v>6745.73</v>
      </c>
      <c r="L41" s="6">
        <f t="shared" si="5"/>
        <v>2745512.11</v>
      </c>
      <c r="M41" s="6">
        <f t="shared" si="6"/>
        <v>1098204.844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  <c r="H42" s="6">
        <f t="shared" si="1"/>
        <v>679.2</v>
      </c>
      <c r="I42" s="6">
        <f t="shared" si="2"/>
        <v>485401.6</v>
      </c>
      <c r="J42" s="6">
        <f t="shared" si="3"/>
        <v>1072</v>
      </c>
      <c r="K42" s="6">
        <f t="shared" si="4"/>
        <v>1132</v>
      </c>
      <c r="L42" s="6">
        <f t="shared" si="5"/>
        <v>1213504</v>
      </c>
      <c r="M42" s="6">
        <f t="shared" si="6"/>
        <v>485401.6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  <c r="H43" s="6">
        <f t="shared" si="1"/>
        <v>733.938</v>
      </c>
      <c r="I43" s="6">
        <f t="shared" si="2"/>
        <v>319507.676</v>
      </c>
      <c r="J43" s="6">
        <f t="shared" si="3"/>
        <v>653</v>
      </c>
      <c r="K43" s="6">
        <f t="shared" si="4"/>
        <v>1223.23</v>
      </c>
      <c r="L43" s="6">
        <f t="shared" si="5"/>
        <v>798769.19</v>
      </c>
      <c r="M43" s="6">
        <f t="shared" si="6"/>
        <v>319507.676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  <c r="J44" s="6">
        <f t="shared" si="3"/>
        <v>1171.25</v>
      </c>
      <c r="K44" s="6">
        <f t="shared" si="4"/>
        <v>4251.699</v>
      </c>
      <c r="L44" s="6">
        <f t="shared" si="5"/>
        <v>4979802.454</v>
      </c>
      <c r="M44" s="6">
        <f t="shared" si="6"/>
        <v>1659934.151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  <c r="H45" s="6">
        <f t="shared" si="1"/>
        <v>671.808</v>
      </c>
      <c r="I45" s="6">
        <f t="shared" si="2"/>
        <v>356953.984</v>
      </c>
      <c r="J45" s="6">
        <f t="shared" si="3"/>
        <v>797</v>
      </c>
      <c r="K45" s="6">
        <f t="shared" si="4"/>
        <v>1119.68</v>
      </c>
      <c r="L45" s="6">
        <f t="shared" si="5"/>
        <v>892384.96</v>
      </c>
      <c r="M45" s="6">
        <f t="shared" si="6"/>
        <v>356953.984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  <c r="H46" s="6">
        <f t="shared" si="1"/>
        <v>745.47</v>
      </c>
      <c r="I46" s="6">
        <f t="shared" si="2"/>
        <v>393111.18</v>
      </c>
      <c r="J46" s="6">
        <f t="shared" si="3"/>
        <v>791</v>
      </c>
      <c r="K46" s="6">
        <f t="shared" si="4"/>
        <v>1242.45</v>
      </c>
      <c r="L46" s="6">
        <f t="shared" si="5"/>
        <v>982777.95</v>
      </c>
      <c r="M46" s="6">
        <f t="shared" si="6"/>
        <v>393111.18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  <c r="J47" s="6">
        <f t="shared" si="3"/>
        <v>221</v>
      </c>
      <c r="K47" s="6">
        <f t="shared" si="4"/>
        <v>6982.16</v>
      </c>
      <c r="L47" s="6">
        <f t="shared" si="5"/>
        <v>1543057.36</v>
      </c>
      <c r="M47" s="6">
        <f t="shared" si="6"/>
        <v>617222.944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  <c r="J48" s="6">
        <f t="shared" si="3"/>
        <v>1452.5</v>
      </c>
      <c r="K48" s="6">
        <f t="shared" si="4"/>
        <v>4819.806</v>
      </c>
      <c r="L48" s="6">
        <f t="shared" si="5"/>
        <v>7000768.215</v>
      </c>
      <c r="M48" s="6">
        <f t="shared" si="6"/>
        <v>2333589.405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  <c r="H49" s="6">
        <f t="shared" si="1"/>
        <v>4168.89</v>
      </c>
      <c r="I49" s="6">
        <f t="shared" si="2"/>
        <v>961623.96</v>
      </c>
      <c r="J49" s="6">
        <f t="shared" si="3"/>
        <v>346</v>
      </c>
      <c r="K49" s="6">
        <f t="shared" si="4"/>
        <v>6948.15</v>
      </c>
      <c r="L49" s="6">
        <f t="shared" si="5"/>
        <v>2404059.9</v>
      </c>
      <c r="M49" s="6">
        <f t="shared" si="6"/>
        <v>961623.96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  <c r="H50" s="6">
        <f t="shared" si="1"/>
        <v>613.002</v>
      </c>
      <c r="I50" s="6">
        <f t="shared" si="2"/>
        <v>252965.492</v>
      </c>
      <c r="J50" s="6">
        <f t="shared" si="3"/>
        <v>619</v>
      </c>
      <c r="K50" s="6">
        <f t="shared" si="4"/>
        <v>1021.67</v>
      </c>
      <c r="L50" s="6">
        <f t="shared" si="5"/>
        <v>632413.73</v>
      </c>
      <c r="M50" s="6">
        <f t="shared" si="6"/>
        <v>252965.492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  <c r="H51" s="6">
        <f t="shared" si="1"/>
        <v>705.414</v>
      </c>
      <c r="I51" s="6">
        <f t="shared" si="2"/>
        <v>351766.448</v>
      </c>
      <c r="J51" s="6">
        <f t="shared" si="3"/>
        <v>748</v>
      </c>
      <c r="K51" s="6">
        <f t="shared" si="4"/>
        <v>1175.69</v>
      </c>
      <c r="L51" s="6">
        <f t="shared" si="5"/>
        <v>879416.12</v>
      </c>
      <c r="M51" s="6">
        <f t="shared" si="6"/>
        <v>351766.448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  <c r="H52" s="6">
        <f t="shared" si="1"/>
        <v>669.192</v>
      </c>
      <c r="I52" s="6">
        <f t="shared" si="2"/>
        <v>229755.92</v>
      </c>
      <c r="J52" s="6">
        <f t="shared" si="3"/>
        <v>515</v>
      </c>
      <c r="K52" s="6">
        <f t="shared" si="4"/>
        <v>1115.32</v>
      </c>
      <c r="L52" s="6">
        <f t="shared" si="5"/>
        <v>574389.8</v>
      </c>
      <c r="M52" s="6">
        <f t="shared" si="6"/>
        <v>229755.92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  <c r="J53" s="6">
        <f t="shared" si="3"/>
        <v>1165</v>
      </c>
      <c r="K53" s="6">
        <f t="shared" si="4"/>
        <v>4997.03</v>
      </c>
      <c r="L53" s="6">
        <f t="shared" si="5"/>
        <v>5821539.95</v>
      </c>
      <c r="M53" s="6">
        <f t="shared" si="6"/>
        <v>2328615.98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  <c r="J54" s="6">
        <f t="shared" si="3"/>
        <v>131</v>
      </c>
      <c r="K54" s="6">
        <f t="shared" si="4"/>
        <v>20581.82</v>
      </c>
      <c r="L54" s="6">
        <f t="shared" si="5"/>
        <v>2696218.42</v>
      </c>
      <c r="M54" s="6">
        <f t="shared" si="6"/>
        <v>1078487.368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  <c r="J55" s="6">
        <f t="shared" si="3"/>
        <v>116</v>
      </c>
      <c r="K55" s="6">
        <f t="shared" si="4"/>
        <v>22611.68</v>
      </c>
      <c r="L55" s="6">
        <f t="shared" si="5"/>
        <v>2622954.88</v>
      </c>
      <c r="M55" s="6">
        <f t="shared" si="6"/>
        <v>1049181.952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  <c r="J56" s="6">
        <f t="shared" si="3"/>
        <v>138</v>
      </c>
      <c r="K56" s="6">
        <f t="shared" si="4"/>
        <v>22224.1</v>
      </c>
      <c r="L56" s="6">
        <f t="shared" si="5"/>
        <v>3066925.8</v>
      </c>
      <c r="M56" s="6">
        <f t="shared" si="6"/>
        <v>1226770.32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  <c r="J57" s="6">
        <f t="shared" si="3"/>
        <v>1105</v>
      </c>
      <c r="K57" s="6">
        <f t="shared" si="4"/>
        <v>5179.22</v>
      </c>
      <c r="L57" s="6">
        <f t="shared" si="5"/>
        <v>5723038.1</v>
      </c>
      <c r="M57" s="6">
        <f t="shared" si="6"/>
        <v>2289215.24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  <c r="J58" s="6">
        <f t="shared" si="3"/>
        <v>1111</v>
      </c>
      <c r="K58" s="6">
        <f t="shared" si="4"/>
        <v>5188.81</v>
      </c>
      <c r="L58" s="6">
        <f t="shared" si="5"/>
        <v>5764767.91</v>
      </c>
      <c r="M58" s="6">
        <f t="shared" si="6"/>
        <v>2305907.164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  <c r="J59" s="6">
        <f t="shared" si="3"/>
        <v>1126</v>
      </c>
      <c r="K59" s="6">
        <f t="shared" si="4"/>
        <v>1187.23</v>
      </c>
      <c r="L59" s="6">
        <f t="shared" si="5"/>
        <v>1336820.98</v>
      </c>
      <c r="M59" s="6">
        <f t="shared" si="6"/>
        <v>534728.392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  <c r="J60" s="6">
        <f t="shared" si="3"/>
        <v>162</v>
      </c>
      <c r="K60" s="6">
        <f t="shared" si="4"/>
        <v>21169.79</v>
      </c>
      <c r="L60" s="6">
        <f t="shared" si="5"/>
        <v>3429505.98</v>
      </c>
      <c r="M60" s="6">
        <f t="shared" si="6"/>
        <v>1371802.392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  <c r="J61" s="6">
        <f t="shared" si="3"/>
        <v>1012</v>
      </c>
      <c r="K61" s="6">
        <f t="shared" si="4"/>
        <v>1259.56</v>
      </c>
      <c r="L61" s="6">
        <f t="shared" si="5"/>
        <v>1274674.72</v>
      </c>
      <c r="M61" s="6">
        <f t="shared" si="6"/>
        <v>509869.888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  <c r="J62" s="6">
        <f t="shared" si="3"/>
        <v>1019</v>
      </c>
      <c r="K62" s="6">
        <f t="shared" si="4"/>
        <v>1126.96</v>
      </c>
      <c r="L62" s="6">
        <f t="shared" si="5"/>
        <v>1148372.24</v>
      </c>
      <c r="M62" s="6">
        <f t="shared" si="6"/>
        <v>459348.896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  <c r="J63" s="6">
        <f t="shared" si="3"/>
        <v>343</v>
      </c>
      <c r="K63" s="6">
        <f t="shared" si="4"/>
        <v>6764.94</v>
      </c>
      <c r="L63" s="6">
        <f t="shared" si="5"/>
        <v>2320374.42</v>
      </c>
      <c r="M63" s="6">
        <f t="shared" si="6"/>
        <v>928149.768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  <c r="J64" s="6">
        <f t="shared" si="3"/>
        <v>898.75</v>
      </c>
      <c r="K64" s="6">
        <f t="shared" si="4"/>
        <v>4689.99</v>
      </c>
      <c r="L64" s="6">
        <f t="shared" si="5"/>
        <v>4215128.513</v>
      </c>
      <c r="M64" s="6">
        <f t="shared" si="6"/>
        <v>1405042.838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  <c r="J65" s="6">
        <f t="shared" si="3"/>
        <v>726</v>
      </c>
      <c r="K65" s="6">
        <f t="shared" si="4"/>
        <v>4966.17</v>
      </c>
      <c r="L65" s="6">
        <f t="shared" si="5"/>
        <v>3605439.42</v>
      </c>
      <c r="M65" s="6">
        <f t="shared" si="6"/>
        <v>1442175.768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  <c r="J66" s="6">
        <f t="shared" si="3"/>
        <v>221</v>
      </c>
      <c r="K66" s="6">
        <f t="shared" si="4"/>
        <v>21120.04</v>
      </c>
      <c r="L66" s="6">
        <f t="shared" si="5"/>
        <v>4667528.84</v>
      </c>
      <c r="M66" s="6">
        <f t="shared" si="6"/>
        <v>1867011.536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  <c r="J67" s="6">
        <f t="shared" si="3"/>
        <v>871</v>
      </c>
      <c r="K67" s="6">
        <f t="shared" si="4"/>
        <v>5169.33</v>
      </c>
      <c r="L67" s="6">
        <f t="shared" si="5"/>
        <v>4502486.43</v>
      </c>
      <c r="M67" s="6">
        <f t="shared" si="6"/>
        <v>1800994.572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  <c r="J68" s="6">
        <f t="shared" si="3"/>
        <v>1057.5</v>
      </c>
      <c r="K68" s="6">
        <f t="shared" si="4"/>
        <v>4785.579</v>
      </c>
      <c r="L68" s="6">
        <f t="shared" si="5"/>
        <v>5060749.793</v>
      </c>
      <c r="M68" s="6">
        <f t="shared" si="6"/>
        <v>1686916.598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  <c r="J69" s="6">
        <f t="shared" si="3"/>
        <v>1023.75</v>
      </c>
      <c r="K69" s="6">
        <f t="shared" si="4"/>
        <v>4663.278</v>
      </c>
      <c r="L69" s="6">
        <f t="shared" si="5"/>
        <v>4774030.853</v>
      </c>
      <c r="M69" s="6">
        <f t="shared" si="6"/>
        <v>1591343.618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  <c r="J70" s="6">
        <f t="shared" si="3"/>
        <v>803</v>
      </c>
      <c r="K70" s="6">
        <f t="shared" si="4"/>
        <v>5190.15</v>
      </c>
      <c r="L70" s="6">
        <f t="shared" si="5"/>
        <v>4167690.45</v>
      </c>
      <c r="M70" s="6">
        <f t="shared" si="6"/>
        <v>1667076.18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  <c r="J71" s="6">
        <f t="shared" si="3"/>
        <v>109</v>
      </c>
      <c r="K71" s="6">
        <f t="shared" si="4"/>
        <v>22377.44</v>
      </c>
      <c r="L71" s="6">
        <f t="shared" si="5"/>
        <v>2439140.96</v>
      </c>
      <c r="M71" s="6">
        <f t="shared" si="6"/>
        <v>975656.384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  <c r="H72" s="6">
        <f t="shared" si="1"/>
        <v>911.22</v>
      </c>
      <c r="I72" s="6">
        <f t="shared" si="2"/>
        <v>377852.56</v>
      </c>
      <c r="J72" s="6">
        <f t="shared" si="3"/>
        <v>622</v>
      </c>
      <c r="K72" s="6">
        <f t="shared" si="4"/>
        <v>1518.7</v>
      </c>
      <c r="L72" s="6">
        <f t="shared" si="5"/>
        <v>944631.4</v>
      </c>
      <c r="M72" s="6">
        <f t="shared" si="6"/>
        <v>377852.56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  <c r="J73" s="6">
        <f t="shared" si="3"/>
        <v>227</v>
      </c>
      <c r="K73" s="6">
        <f t="shared" si="4"/>
        <v>21567.33</v>
      </c>
      <c r="L73" s="6">
        <f t="shared" si="5"/>
        <v>4895783.91</v>
      </c>
      <c r="M73" s="6">
        <f t="shared" si="6"/>
        <v>1958313.564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  <c r="J74" s="6">
        <f t="shared" si="3"/>
        <v>1089</v>
      </c>
      <c r="K74" s="6">
        <f t="shared" si="4"/>
        <v>1096.56</v>
      </c>
      <c r="L74" s="6">
        <f t="shared" si="5"/>
        <v>1194153.84</v>
      </c>
      <c r="M74" s="6">
        <f t="shared" si="6"/>
        <v>477661.536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  <c r="J75" s="6">
        <f t="shared" si="3"/>
        <v>264</v>
      </c>
      <c r="K75" s="6">
        <f t="shared" si="4"/>
        <v>6761.28</v>
      </c>
      <c r="L75" s="6">
        <f t="shared" si="5"/>
        <v>1784977.92</v>
      </c>
      <c r="M75" s="6">
        <f t="shared" si="6"/>
        <v>713991.168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  <c r="H76" s="6">
        <f t="shared" si="1"/>
        <v>690.816</v>
      </c>
      <c r="I76" s="6">
        <f t="shared" si="2"/>
        <v>315012.096</v>
      </c>
      <c r="J76" s="6">
        <f t="shared" si="3"/>
        <v>684</v>
      </c>
      <c r="K76" s="6">
        <f t="shared" si="4"/>
        <v>1151.36</v>
      </c>
      <c r="L76" s="6">
        <f t="shared" si="5"/>
        <v>787530.24</v>
      </c>
      <c r="M76" s="6">
        <f t="shared" si="6"/>
        <v>315012.096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  <c r="J77" s="6">
        <f t="shared" si="3"/>
        <v>214</v>
      </c>
      <c r="K77" s="6">
        <f t="shared" si="4"/>
        <v>21666.08</v>
      </c>
      <c r="L77" s="6">
        <f t="shared" si="5"/>
        <v>4636541.12</v>
      </c>
      <c r="M77" s="6">
        <f t="shared" si="6"/>
        <v>1854616.448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  <c r="J78" s="6">
        <f t="shared" si="3"/>
        <v>1092</v>
      </c>
      <c r="K78" s="6">
        <f t="shared" si="4"/>
        <v>5389.73</v>
      </c>
      <c r="L78" s="6">
        <f t="shared" si="5"/>
        <v>5885585.16</v>
      </c>
      <c r="M78" s="6">
        <f t="shared" si="6"/>
        <v>2354234.064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  <c r="H79" s="6">
        <f t="shared" si="1"/>
        <v>715.278</v>
      </c>
      <c r="I79" s="6">
        <f t="shared" si="2"/>
        <v>281819.532</v>
      </c>
      <c r="J79" s="6">
        <f t="shared" si="3"/>
        <v>591</v>
      </c>
      <c r="K79" s="6">
        <f t="shared" si="4"/>
        <v>1192.13</v>
      </c>
      <c r="L79" s="6">
        <f t="shared" si="5"/>
        <v>704548.83</v>
      </c>
      <c r="M79" s="6">
        <f t="shared" si="6"/>
        <v>281819.532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  <c r="J80" s="6">
        <f t="shared" si="3"/>
        <v>195</v>
      </c>
      <c r="K80" s="6">
        <f t="shared" si="4"/>
        <v>21937.68</v>
      </c>
      <c r="L80" s="6">
        <f t="shared" si="5"/>
        <v>4277847.6</v>
      </c>
      <c r="M80" s="6">
        <f t="shared" si="6"/>
        <v>1711139.04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  <c r="J81" s="6">
        <f t="shared" si="3"/>
        <v>878</v>
      </c>
      <c r="K81" s="6">
        <f t="shared" si="4"/>
        <v>5259.56</v>
      </c>
      <c r="L81" s="6">
        <f t="shared" si="5"/>
        <v>4617893.68</v>
      </c>
      <c r="M81" s="6">
        <f t="shared" si="6"/>
        <v>1847157.472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  <c r="J82" s="6">
        <f t="shared" si="3"/>
        <v>661</v>
      </c>
      <c r="K82" s="6">
        <f t="shared" si="4"/>
        <v>4808.68</v>
      </c>
      <c r="L82" s="6">
        <f t="shared" si="5"/>
        <v>3178537.48</v>
      </c>
      <c r="M82" s="6">
        <f t="shared" si="6"/>
        <v>1271414.992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  <c r="H83" s="6">
        <f t="shared" si="1"/>
        <v>715.41</v>
      </c>
      <c r="I83" s="6">
        <f t="shared" si="2"/>
        <v>379167.3</v>
      </c>
      <c r="J83" s="6">
        <f t="shared" si="3"/>
        <v>795</v>
      </c>
      <c r="K83" s="6">
        <f t="shared" si="4"/>
        <v>1192.35</v>
      </c>
      <c r="L83" s="6">
        <f t="shared" si="5"/>
        <v>947918.25</v>
      </c>
      <c r="M83" s="6">
        <f t="shared" si="6"/>
        <v>379167.3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  <c r="J84" s="6">
        <f t="shared" si="3"/>
        <v>1054</v>
      </c>
      <c r="K84" s="6">
        <f t="shared" si="4"/>
        <v>5320.71</v>
      </c>
      <c r="L84" s="6">
        <f t="shared" si="5"/>
        <v>5608028.34</v>
      </c>
      <c r="M84" s="6">
        <f t="shared" si="6"/>
        <v>2243211.336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  <c r="J85" s="6">
        <f t="shared" si="3"/>
        <v>698</v>
      </c>
      <c r="K85" s="6">
        <f t="shared" si="4"/>
        <v>5353.53</v>
      </c>
      <c r="L85" s="6">
        <f t="shared" si="5"/>
        <v>3736763.94</v>
      </c>
      <c r="M85" s="6">
        <f t="shared" si="6"/>
        <v>1494705.576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  <c r="J86" s="6">
        <f t="shared" si="3"/>
        <v>1083</v>
      </c>
      <c r="K86" s="6">
        <f t="shared" si="4"/>
        <v>5662.73</v>
      </c>
      <c r="L86" s="6">
        <f t="shared" si="5"/>
        <v>6132736.59</v>
      </c>
      <c r="M86" s="6">
        <f t="shared" si="6"/>
        <v>2453094.636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  <c r="J87" s="6">
        <f t="shared" si="3"/>
        <v>244</v>
      </c>
      <c r="K87" s="6">
        <f t="shared" si="4"/>
        <v>21823.67</v>
      </c>
      <c r="L87" s="6">
        <f t="shared" si="5"/>
        <v>5324975.48</v>
      </c>
      <c r="M87" s="6">
        <f t="shared" si="6"/>
        <v>2129990.192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  <c r="J88" s="6">
        <f t="shared" si="3"/>
        <v>236</v>
      </c>
      <c r="K88" s="6">
        <f t="shared" si="4"/>
        <v>21947.29</v>
      </c>
      <c r="L88" s="6">
        <f t="shared" si="5"/>
        <v>5179560.44</v>
      </c>
      <c r="M88" s="6">
        <f t="shared" si="6"/>
        <v>2071824.176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  <c r="J89" s="6">
        <f t="shared" si="3"/>
        <v>335</v>
      </c>
      <c r="K89" s="6">
        <f t="shared" si="4"/>
        <v>6961.76</v>
      </c>
      <c r="L89" s="6">
        <f t="shared" si="5"/>
        <v>2332189.6</v>
      </c>
      <c r="M89" s="6">
        <f t="shared" si="6"/>
        <v>932875.84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  <c r="J90" s="6">
        <f t="shared" si="3"/>
        <v>1056</v>
      </c>
      <c r="K90" s="6">
        <f t="shared" si="4"/>
        <v>1133.58</v>
      </c>
      <c r="L90" s="6">
        <f t="shared" si="5"/>
        <v>1197060.48</v>
      </c>
      <c r="M90" s="6">
        <f t="shared" si="6"/>
        <v>478824.192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  <c r="J91" s="6">
        <f t="shared" si="3"/>
        <v>401</v>
      </c>
      <c r="K91" s="6">
        <f t="shared" si="4"/>
        <v>7108.03</v>
      </c>
      <c r="L91" s="6">
        <f t="shared" si="5"/>
        <v>2850320.03</v>
      </c>
      <c r="M91" s="6">
        <f t="shared" si="6"/>
        <v>1140128.012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  <c r="J92" s="6">
        <f t="shared" si="3"/>
        <v>1023.75</v>
      </c>
      <c r="K92" s="6">
        <f t="shared" si="4"/>
        <v>5056.227</v>
      </c>
      <c r="L92" s="6">
        <f t="shared" si="5"/>
        <v>5176312.391</v>
      </c>
      <c r="M92" s="6">
        <f t="shared" si="6"/>
        <v>1725437.464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  <c r="J93" s="6">
        <f t="shared" si="3"/>
        <v>986</v>
      </c>
      <c r="K93" s="6">
        <f t="shared" si="4"/>
        <v>5394.33</v>
      </c>
      <c r="L93" s="6">
        <f t="shared" si="5"/>
        <v>5318809.38</v>
      </c>
      <c r="M93" s="6">
        <f t="shared" si="6"/>
        <v>2127523.752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  <c r="J94" s="6">
        <f t="shared" si="3"/>
        <v>1008</v>
      </c>
      <c r="K94" s="6">
        <f t="shared" si="4"/>
        <v>5231.36</v>
      </c>
      <c r="L94" s="6">
        <f t="shared" si="5"/>
        <v>5273210.88</v>
      </c>
      <c r="M94" s="6">
        <f t="shared" si="6"/>
        <v>2109284.352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  <c r="J95" s="6">
        <f t="shared" si="3"/>
        <v>1002.5</v>
      </c>
      <c r="K95" s="6">
        <f t="shared" si="4"/>
        <v>4852.386</v>
      </c>
      <c r="L95" s="6">
        <f t="shared" si="5"/>
        <v>4864516.965</v>
      </c>
      <c r="M95" s="6">
        <f t="shared" si="6"/>
        <v>1621505.655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  <c r="J96" s="6">
        <f t="shared" si="3"/>
        <v>219</v>
      </c>
      <c r="K96" s="6">
        <f t="shared" si="4"/>
        <v>6489.46</v>
      </c>
      <c r="L96" s="6">
        <f t="shared" si="5"/>
        <v>1421191.74</v>
      </c>
      <c r="M96" s="6">
        <f t="shared" si="6"/>
        <v>568476.696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  <c r="J97" s="6">
        <f t="shared" si="3"/>
        <v>343</v>
      </c>
      <c r="K97" s="6">
        <f t="shared" si="4"/>
        <v>6409.87</v>
      </c>
      <c r="L97" s="6">
        <f t="shared" si="5"/>
        <v>2198585.41</v>
      </c>
      <c r="M97" s="6">
        <f t="shared" si="6"/>
        <v>879434.164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  <c r="J98" s="6">
        <f t="shared" si="3"/>
        <v>216</v>
      </c>
      <c r="K98" s="6">
        <f t="shared" si="4"/>
        <v>20828.22</v>
      </c>
      <c r="L98" s="6">
        <f t="shared" si="5"/>
        <v>4498895.52</v>
      </c>
      <c r="M98" s="6">
        <f t="shared" si="6"/>
        <v>1799558.208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  <c r="J99" s="6">
        <f t="shared" si="3"/>
        <v>127</v>
      </c>
      <c r="K99" s="6">
        <f t="shared" si="4"/>
        <v>21020.49</v>
      </c>
      <c r="L99" s="6">
        <f t="shared" si="5"/>
        <v>2669602.23</v>
      </c>
      <c r="M99" s="6">
        <f t="shared" si="6"/>
        <v>1067840.892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  <c r="J100" s="6">
        <f t="shared" si="3"/>
        <v>901</v>
      </c>
      <c r="K100" s="6">
        <f t="shared" si="4"/>
        <v>1372.77</v>
      </c>
      <c r="L100" s="6">
        <f t="shared" si="5"/>
        <v>1236865.77</v>
      </c>
      <c r="M100" s="6">
        <f t="shared" si="6"/>
        <v>494746.308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  <c r="J101" s="6">
        <f t="shared" si="3"/>
        <v>214</v>
      </c>
      <c r="K101" s="6">
        <f t="shared" si="4"/>
        <v>20305.92</v>
      </c>
      <c r="L101" s="6">
        <f t="shared" si="5"/>
        <v>4345466.88</v>
      </c>
      <c r="M101" s="6">
        <f t="shared" si="6"/>
        <v>1738186.752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  <c r="J102" s="6">
        <f t="shared" si="3"/>
        <v>155</v>
      </c>
      <c r="K102" s="6">
        <f t="shared" si="4"/>
        <v>21613.64</v>
      </c>
      <c r="L102" s="6">
        <f t="shared" si="5"/>
        <v>3350114.2</v>
      </c>
      <c r="M102" s="6">
        <f t="shared" si="6"/>
        <v>1340045.68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  <c r="J103" s="6">
        <f t="shared" si="3"/>
        <v>164</v>
      </c>
      <c r="K103" s="6">
        <f t="shared" si="4"/>
        <v>22329.73</v>
      </c>
      <c r="L103" s="6">
        <f t="shared" si="5"/>
        <v>3662075.72</v>
      </c>
      <c r="M103" s="6">
        <f t="shared" si="6"/>
        <v>1464830.288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  <c r="J104" s="6">
        <f t="shared" si="3"/>
        <v>881</v>
      </c>
      <c r="K104" s="6">
        <f t="shared" si="4"/>
        <v>5368.18</v>
      </c>
      <c r="L104" s="6">
        <f t="shared" si="5"/>
        <v>4729366.58</v>
      </c>
      <c r="M104" s="6">
        <f t="shared" si="6"/>
        <v>1891746.632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  <c r="J105" s="6">
        <f t="shared" si="3"/>
        <v>698</v>
      </c>
      <c r="K105" s="6">
        <f t="shared" si="4"/>
        <v>5282.72</v>
      </c>
      <c r="L105" s="6">
        <f t="shared" si="5"/>
        <v>3687338.56</v>
      </c>
      <c r="M105" s="6">
        <f t="shared" si="6"/>
        <v>1474935.424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  <c r="J106" s="6">
        <f t="shared" si="3"/>
        <v>194</v>
      </c>
      <c r="K106" s="6">
        <f t="shared" si="4"/>
        <v>21755.63</v>
      </c>
      <c r="L106" s="6">
        <f t="shared" si="5"/>
        <v>4220592.22</v>
      </c>
      <c r="M106" s="6">
        <f t="shared" si="6"/>
        <v>1688236.888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  <c r="J107" s="6">
        <f t="shared" si="3"/>
        <v>182</v>
      </c>
      <c r="K107" s="6">
        <f t="shared" si="4"/>
        <v>21654.62</v>
      </c>
      <c r="L107" s="6">
        <f t="shared" si="5"/>
        <v>3941140.84</v>
      </c>
      <c r="M107" s="6">
        <f t="shared" si="6"/>
        <v>1576456.336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  <c r="J108" s="6">
        <f t="shared" si="3"/>
        <v>372</v>
      </c>
      <c r="K108" s="6">
        <f t="shared" si="4"/>
        <v>6289.42</v>
      </c>
      <c r="L108" s="6">
        <f t="shared" si="5"/>
        <v>2339664.24</v>
      </c>
      <c r="M108" s="6">
        <f t="shared" si="6"/>
        <v>935865.696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  <c r="J109" s="6">
        <f t="shared" si="3"/>
        <v>271</v>
      </c>
      <c r="K109" s="6">
        <f t="shared" si="4"/>
        <v>6860.65</v>
      </c>
      <c r="L109" s="6">
        <f t="shared" si="5"/>
        <v>1859236.15</v>
      </c>
      <c r="M109" s="6">
        <f t="shared" si="6"/>
        <v>743694.46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  <c r="J110" s="6">
        <f t="shared" si="3"/>
        <v>217</v>
      </c>
      <c r="K110" s="6">
        <f t="shared" si="4"/>
        <v>21085.67</v>
      </c>
      <c r="L110" s="6">
        <f t="shared" si="5"/>
        <v>4575590.39</v>
      </c>
      <c r="M110" s="6">
        <f t="shared" si="6"/>
        <v>1830236.156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  <c r="J111" s="6">
        <f t="shared" si="3"/>
        <v>1000</v>
      </c>
      <c r="K111" s="6">
        <f t="shared" si="4"/>
        <v>5478.57</v>
      </c>
      <c r="L111" s="6">
        <f t="shared" si="5"/>
        <v>5478570</v>
      </c>
      <c r="M111" s="6">
        <f t="shared" si="6"/>
        <v>2191428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  <c r="J112" s="6">
        <f t="shared" si="3"/>
        <v>1177</v>
      </c>
      <c r="K112" s="6">
        <f t="shared" si="4"/>
        <v>5340.62</v>
      </c>
      <c r="L112" s="6">
        <f t="shared" si="5"/>
        <v>6285909.74</v>
      </c>
      <c r="M112" s="6">
        <f t="shared" si="6"/>
        <v>2514363.896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  <c r="J113" s="6">
        <f t="shared" si="3"/>
        <v>448</v>
      </c>
      <c r="K113" s="6">
        <f t="shared" si="4"/>
        <v>6714.87</v>
      </c>
      <c r="L113" s="6">
        <f t="shared" si="5"/>
        <v>3008261.76</v>
      </c>
      <c r="M113" s="6">
        <f t="shared" si="6"/>
        <v>1203304.704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  <c r="J114" s="6">
        <f t="shared" si="3"/>
        <v>205</v>
      </c>
      <c r="K114" s="6">
        <f t="shared" si="4"/>
        <v>20137.29</v>
      </c>
      <c r="L114" s="6">
        <f t="shared" si="5"/>
        <v>4128144.45</v>
      </c>
      <c r="M114" s="6">
        <f t="shared" si="6"/>
        <v>1651257.78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  <c r="J115" s="6">
        <f t="shared" si="3"/>
        <v>1311.25</v>
      </c>
      <c r="K115" s="6">
        <f t="shared" si="4"/>
        <v>4760.001</v>
      </c>
      <c r="L115" s="6">
        <f t="shared" si="5"/>
        <v>6241551.311</v>
      </c>
      <c r="M115" s="6">
        <f t="shared" si="6"/>
        <v>2080517.104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  <c r="J116" s="6">
        <f t="shared" si="3"/>
        <v>382</v>
      </c>
      <c r="K116" s="6">
        <f t="shared" si="4"/>
        <v>6170.76</v>
      </c>
      <c r="L116" s="6">
        <f t="shared" si="5"/>
        <v>2357230.32</v>
      </c>
      <c r="M116" s="6">
        <f t="shared" si="6"/>
        <v>942892.128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  <c r="J117" s="6">
        <f t="shared" si="3"/>
        <v>1095</v>
      </c>
      <c r="K117" s="6">
        <f t="shared" si="4"/>
        <v>1349.99</v>
      </c>
      <c r="L117" s="6">
        <f t="shared" si="5"/>
        <v>1478239.05</v>
      </c>
      <c r="M117" s="6">
        <f t="shared" si="6"/>
        <v>591295.62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  <c r="J118" s="6">
        <f t="shared" si="3"/>
        <v>660</v>
      </c>
      <c r="K118" s="6">
        <f t="shared" si="4"/>
        <v>5193.95</v>
      </c>
      <c r="L118" s="6">
        <f t="shared" si="5"/>
        <v>3428007</v>
      </c>
      <c r="M118" s="6">
        <f t="shared" si="6"/>
        <v>1371202.8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  <c r="J119" s="6">
        <f t="shared" si="3"/>
        <v>1040</v>
      </c>
      <c r="K119" s="6">
        <f t="shared" si="4"/>
        <v>4627.287</v>
      </c>
      <c r="L119" s="6">
        <f t="shared" si="5"/>
        <v>4812378.48</v>
      </c>
      <c r="M119" s="6">
        <f t="shared" si="6"/>
        <v>1604126.16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  <c r="J120" s="6">
        <f t="shared" si="3"/>
        <v>144</v>
      </c>
      <c r="K120" s="6">
        <f t="shared" si="4"/>
        <v>20999.81</v>
      </c>
      <c r="L120" s="6">
        <f t="shared" si="5"/>
        <v>3023972.64</v>
      </c>
      <c r="M120" s="6">
        <f t="shared" si="6"/>
        <v>1209589.056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  <c r="J121" s="6">
        <f t="shared" si="3"/>
        <v>206</v>
      </c>
      <c r="K121" s="6">
        <f t="shared" si="4"/>
        <v>21281.11</v>
      </c>
      <c r="L121" s="6">
        <f t="shared" si="5"/>
        <v>4383908.66</v>
      </c>
      <c r="M121" s="6">
        <f t="shared" si="6"/>
        <v>1753563.464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  <c r="J122" s="6">
        <f t="shared" si="3"/>
        <v>656</v>
      </c>
      <c r="K122" s="6">
        <f t="shared" si="4"/>
        <v>1218.15</v>
      </c>
      <c r="L122" s="6">
        <f t="shared" si="5"/>
        <v>799106.4</v>
      </c>
      <c r="M122" s="6">
        <f t="shared" si="6"/>
        <v>319642.56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  <c r="J123" s="6">
        <f t="shared" si="3"/>
        <v>127</v>
      </c>
      <c r="K123" s="6">
        <f t="shared" si="4"/>
        <v>20879.81</v>
      </c>
      <c r="L123" s="6">
        <f t="shared" si="5"/>
        <v>2651735.87</v>
      </c>
      <c r="M123" s="6">
        <f t="shared" si="6"/>
        <v>1060694.348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  <c r="J124" s="6">
        <f t="shared" si="3"/>
        <v>1125</v>
      </c>
      <c r="K124" s="6">
        <f t="shared" si="4"/>
        <v>5473.37</v>
      </c>
      <c r="L124" s="6">
        <f t="shared" si="5"/>
        <v>6157541.25</v>
      </c>
      <c r="M124" s="6">
        <f t="shared" si="6"/>
        <v>2463016.5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  <c r="J125" s="6">
        <f t="shared" si="3"/>
        <v>214</v>
      </c>
      <c r="K125" s="6">
        <f t="shared" si="4"/>
        <v>21876.83</v>
      </c>
      <c r="L125" s="6">
        <f t="shared" si="5"/>
        <v>4681641.62</v>
      </c>
      <c r="M125" s="6">
        <f t="shared" si="6"/>
        <v>1872656.648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  <c r="J126" s="6">
        <f t="shared" si="3"/>
        <v>627</v>
      </c>
      <c r="K126" s="6">
        <f t="shared" si="4"/>
        <v>5170.69</v>
      </c>
      <c r="L126" s="6">
        <f t="shared" si="5"/>
        <v>3242022.63</v>
      </c>
      <c r="M126" s="6">
        <f t="shared" si="6"/>
        <v>1296809.052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  <c r="J127" s="6">
        <f t="shared" si="3"/>
        <v>1179</v>
      </c>
      <c r="K127" s="6">
        <f t="shared" si="4"/>
        <v>5083.69</v>
      </c>
      <c r="L127" s="6">
        <f t="shared" si="5"/>
        <v>5993670.51</v>
      </c>
      <c r="M127" s="6">
        <f t="shared" si="6"/>
        <v>2397468.204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  <c r="J128" s="6">
        <f t="shared" si="3"/>
        <v>427</v>
      </c>
      <c r="K128" s="6">
        <f t="shared" si="4"/>
        <v>7412.3</v>
      </c>
      <c r="L128" s="6">
        <f t="shared" si="5"/>
        <v>3165052.1</v>
      </c>
      <c r="M128" s="6">
        <f t="shared" si="6"/>
        <v>1266020.84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  <c r="J129" s="6">
        <f t="shared" si="3"/>
        <v>241</v>
      </c>
      <c r="K129" s="6">
        <f t="shared" si="4"/>
        <v>7004.36</v>
      </c>
      <c r="L129" s="6">
        <f t="shared" si="5"/>
        <v>1688050.76</v>
      </c>
      <c r="M129" s="6">
        <f t="shared" si="6"/>
        <v>675220.304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  <c r="J130" s="6">
        <f t="shared" si="3"/>
        <v>163</v>
      </c>
      <c r="K130" s="6">
        <f t="shared" si="4"/>
        <v>19968.98</v>
      </c>
      <c r="L130" s="6">
        <f t="shared" si="5"/>
        <v>3254943.74</v>
      </c>
      <c r="M130" s="6">
        <f t="shared" si="6"/>
        <v>1301977.496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  <c r="J131" s="6">
        <f t="shared" si="3"/>
        <v>1295</v>
      </c>
      <c r="K131" s="6">
        <f t="shared" si="4"/>
        <v>4939.434</v>
      </c>
      <c r="L131" s="6">
        <f t="shared" si="5"/>
        <v>6396567.03</v>
      </c>
      <c r="M131" s="6">
        <f t="shared" si="6"/>
        <v>2132189.01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  <c r="J132" s="6">
        <f t="shared" si="3"/>
        <v>311</v>
      </c>
      <c r="K132" s="6">
        <f t="shared" si="4"/>
        <v>6585.43</v>
      </c>
      <c r="L132" s="6">
        <f t="shared" si="5"/>
        <v>2048068.73</v>
      </c>
      <c r="M132" s="6">
        <f t="shared" si="6"/>
        <v>819227.492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  <c r="J133" s="6">
        <f t="shared" si="3"/>
        <v>842</v>
      </c>
      <c r="K133" s="6">
        <f t="shared" si="4"/>
        <v>5217.31</v>
      </c>
      <c r="L133" s="6">
        <f t="shared" si="5"/>
        <v>4392975.02</v>
      </c>
      <c r="M133" s="6">
        <f t="shared" si="6"/>
        <v>1757190.008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  <c r="J134" s="6">
        <f t="shared" si="3"/>
        <v>622</v>
      </c>
      <c r="K134" s="6">
        <f t="shared" si="4"/>
        <v>1217.4</v>
      </c>
      <c r="L134" s="6">
        <f t="shared" si="5"/>
        <v>757222.8</v>
      </c>
      <c r="M134" s="6">
        <f t="shared" si="6"/>
        <v>302889.12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  <c r="J135" s="6">
        <f t="shared" si="3"/>
        <v>1378.75</v>
      </c>
      <c r="K135" s="6">
        <f t="shared" si="4"/>
        <v>4933.413</v>
      </c>
      <c r="L135" s="6">
        <f t="shared" si="5"/>
        <v>6801943.174</v>
      </c>
      <c r="M135" s="6">
        <f t="shared" si="6"/>
        <v>2267314.391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  <c r="J136" s="6">
        <f t="shared" si="3"/>
        <v>402</v>
      </c>
      <c r="K136" s="6">
        <f t="shared" si="4"/>
        <v>6199.18</v>
      </c>
      <c r="L136" s="6">
        <f t="shared" si="5"/>
        <v>2492070.36</v>
      </c>
      <c r="M136" s="6">
        <f t="shared" si="6"/>
        <v>996828.144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  <c r="J137" s="6">
        <f t="shared" si="3"/>
        <v>167</v>
      </c>
      <c r="K137" s="6">
        <f t="shared" si="4"/>
        <v>21934.69</v>
      </c>
      <c r="L137" s="6">
        <f t="shared" si="5"/>
        <v>3663093.23</v>
      </c>
      <c r="M137" s="6">
        <f t="shared" si="6"/>
        <v>1465237.292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  <c r="J138" s="6">
        <f t="shared" si="3"/>
        <v>739</v>
      </c>
      <c r="K138" s="6">
        <f t="shared" si="4"/>
        <v>5351.94</v>
      </c>
      <c r="L138" s="6">
        <f t="shared" si="5"/>
        <v>3955083.66</v>
      </c>
      <c r="M138" s="6">
        <f t="shared" si="6"/>
        <v>1582033.464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  <c r="J139" s="6">
        <f t="shared" si="3"/>
        <v>458</v>
      </c>
      <c r="K139" s="6">
        <f t="shared" si="4"/>
        <v>6428.71</v>
      </c>
      <c r="L139" s="6">
        <f t="shared" si="5"/>
        <v>2944349.18</v>
      </c>
      <c r="M139" s="6">
        <f t="shared" si="6"/>
        <v>1177739.672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  <c r="J140" s="6">
        <f t="shared" si="3"/>
        <v>104</v>
      </c>
      <c r="K140" s="6">
        <f t="shared" si="4"/>
        <v>22305.03</v>
      </c>
      <c r="L140" s="6">
        <f t="shared" si="5"/>
        <v>2319723.12</v>
      </c>
      <c r="M140" s="6">
        <f t="shared" si="6"/>
        <v>927889.248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  <c r="J141" s="6">
        <f t="shared" si="3"/>
        <v>1436.25</v>
      </c>
      <c r="K141" s="6">
        <f t="shared" si="4"/>
        <v>4666.158</v>
      </c>
      <c r="L141" s="6">
        <f t="shared" si="5"/>
        <v>6701769.428</v>
      </c>
      <c r="M141" s="6">
        <f t="shared" si="6"/>
        <v>2233923.143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  <c r="J142" s="6">
        <f t="shared" si="3"/>
        <v>177</v>
      </c>
      <c r="K142" s="6">
        <f t="shared" si="4"/>
        <v>21093.28</v>
      </c>
      <c r="L142" s="6">
        <f t="shared" si="5"/>
        <v>3733510.56</v>
      </c>
      <c r="M142" s="6">
        <f t="shared" si="6"/>
        <v>1493404.224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  <c r="J143" s="6">
        <f t="shared" si="3"/>
        <v>748</v>
      </c>
      <c r="K143" s="6">
        <f t="shared" si="4"/>
        <v>1075.82</v>
      </c>
      <c r="L143" s="6">
        <f t="shared" si="5"/>
        <v>804713.36</v>
      </c>
      <c r="M143" s="6">
        <f t="shared" si="6"/>
        <v>321885.344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  <c r="J144" s="6">
        <f t="shared" si="3"/>
        <v>159</v>
      </c>
      <c r="K144" s="6">
        <f t="shared" si="4"/>
        <v>21245.22</v>
      </c>
      <c r="L144" s="6">
        <f t="shared" si="5"/>
        <v>3377989.98</v>
      </c>
      <c r="M144" s="6">
        <f t="shared" si="6"/>
        <v>1351195.992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  <c r="J145" s="6">
        <f t="shared" si="3"/>
        <v>641</v>
      </c>
      <c r="K145" s="6">
        <f t="shared" si="4"/>
        <v>5236.19</v>
      </c>
      <c r="L145" s="6">
        <f t="shared" si="5"/>
        <v>3356397.79</v>
      </c>
      <c r="M145" s="6">
        <f t="shared" si="6"/>
        <v>1342559.116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  <c r="J146" s="6">
        <f t="shared" si="3"/>
        <v>303</v>
      </c>
      <c r="K146" s="6">
        <f t="shared" si="4"/>
        <v>6497.08</v>
      </c>
      <c r="L146" s="6">
        <f t="shared" si="5"/>
        <v>1968615.24</v>
      </c>
      <c r="M146" s="6">
        <f t="shared" si="6"/>
        <v>787446.096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  <c r="J147" s="6">
        <f t="shared" si="3"/>
        <v>744</v>
      </c>
      <c r="K147" s="6">
        <f t="shared" si="4"/>
        <v>4853.93</v>
      </c>
      <c r="L147" s="6">
        <f t="shared" si="5"/>
        <v>3611323.92</v>
      </c>
      <c r="M147" s="6">
        <f t="shared" si="6"/>
        <v>1444529.568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  <c r="J148" s="6">
        <f t="shared" si="3"/>
        <v>152</v>
      </c>
      <c r="K148" s="6">
        <f t="shared" si="4"/>
        <v>21688.49</v>
      </c>
      <c r="L148" s="6">
        <f t="shared" si="5"/>
        <v>3296650.48</v>
      </c>
      <c r="M148" s="6">
        <f t="shared" si="6"/>
        <v>1318660.192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  <c r="J149" s="6">
        <f t="shared" si="3"/>
        <v>378</v>
      </c>
      <c r="K149" s="6">
        <f t="shared" si="4"/>
        <v>6931.26</v>
      </c>
      <c r="L149" s="6">
        <f t="shared" si="5"/>
        <v>2620016.28</v>
      </c>
      <c r="M149" s="6">
        <f t="shared" si="6"/>
        <v>1048006.512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  <c r="J150" s="6">
        <f t="shared" si="3"/>
        <v>877</v>
      </c>
      <c r="K150" s="6">
        <f t="shared" si="4"/>
        <v>1218.19</v>
      </c>
      <c r="L150" s="6">
        <f t="shared" si="5"/>
        <v>1068352.63</v>
      </c>
      <c r="M150" s="6">
        <f t="shared" si="6"/>
        <v>427341.052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  <c r="J151" s="6">
        <f t="shared" si="3"/>
        <v>488</v>
      </c>
      <c r="K151" s="6">
        <f t="shared" si="4"/>
        <v>6774.47</v>
      </c>
      <c r="L151" s="6">
        <f t="shared" si="5"/>
        <v>3305941.36</v>
      </c>
      <c r="M151" s="6">
        <f t="shared" si="6"/>
        <v>1322376.544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  <c r="J152" s="6">
        <f t="shared" si="3"/>
        <v>104</v>
      </c>
      <c r="K152" s="6">
        <f t="shared" si="4"/>
        <v>21221.98</v>
      </c>
      <c r="L152" s="6">
        <f t="shared" si="5"/>
        <v>2207085.92</v>
      </c>
      <c r="M152" s="6">
        <f t="shared" si="6"/>
        <v>882834.368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  <c r="J153" s="6">
        <f t="shared" si="3"/>
        <v>1095</v>
      </c>
      <c r="K153" s="6">
        <f t="shared" si="4"/>
        <v>1282.91</v>
      </c>
      <c r="L153" s="6">
        <f t="shared" si="5"/>
        <v>1404786.45</v>
      </c>
      <c r="M153" s="6">
        <f t="shared" si="6"/>
        <v>561914.58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  <c r="J154" s="6">
        <f t="shared" si="3"/>
        <v>646</v>
      </c>
      <c r="K154" s="6">
        <f t="shared" si="4"/>
        <v>5582.85</v>
      </c>
      <c r="L154" s="6">
        <f t="shared" si="5"/>
        <v>3606521.1</v>
      </c>
      <c r="M154" s="6">
        <f t="shared" si="6"/>
        <v>1442608.44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  <c r="J155" s="6">
        <f t="shared" si="3"/>
        <v>691</v>
      </c>
      <c r="K155" s="6">
        <f t="shared" si="4"/>
        <v>1152.64</v>
      </c>
      <c r="L155" s="6">
        <f t="shared" si="5"/>
        <v>796474.24</v>
      </c>
      <c r="M155" s="6">
        <f t="shared" si="6"/>
        <v>318589.696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  <c r="J156" s="6">
        <f t="shared" si="3"/>
        <v>453</v>
      </c>
      <c r="K156" s="6">
        <f t="shared" si="4"/>
        <v>6751.18</v>
      </c>
      <c r="L156" s="6">
        <f t="shared" si="5"/>
        <v>3058284.54</v>
      </c>
      <c r="M156" s="6">
        <f t="shared" si="6"/>
        <v>1223313.816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  <c r="J157" s="6">
        <f t="shared" si="3"/>
        <v>617</v>
      </c>
      <c r="K157" s="6">
        <f t="shared" si="4"/>
        <v>1283.56</v>
      </c>
      <c r="L157" s="6">
        <f t="shared" si="5"/>
        <v>791956.52</v>
      </c>
      <c r="M157" s="6">
        <f t="shared" si="6"/>
        <v>316782.608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  <c r="J158" s="6">
        <f t="shared" si="3"/>
        <v>1323.75</v>
      </c>
      <c r="K158" s="6">
        <f t="shared" si="4"/>
        <v>4986.891</v>
      </c>
      <c r="L158" s="6">
        <f t="shared" si="5"/>
        <v>6601396.961</v>
      </c>
      <c r="M158" s="6">
        <f t="shared" si="6"/>
        <v>2200465.654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  <c r="J159" s="6">
        <f t="shared" si="3"/>
        <v>228</v>
      </c>
      <c r="K159" s="6">
        <f t="shared" si="4"/>
        <v>6901.73</v>
      </c>
      <c r="L159" s="6">
        <f t="shared" si="5"/>
        <v>1573594.44</v>
      </c>
      <c r="M159" s="6">
        <f t="shared" si="6"/>
        <v>629437.776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  <c r="J160" s="6">
        <f t="shared" si="3"/>
        <v>456</v>
      </c>
      <c r="K160" s="6">
        <f t="shared" si="4"/>
        <v>7461.61</v>
      </c>
      <c r="L160" s="6">
        <f t="shared" si="5"/>
        <v>3402494.16</v>
      </c>
      <c r="M160" s="6">
        <f t="shared" si="6"/>
        <v>1360997.664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  <c r="J161" s="6">
        <f t="shared" si="3"/>
        <v>801</v>
      </c>
      <c r="K161" s="6">
        <f t="shared" si="4"/>
        <v>5404.79</v>
      </c>
      <c r="L161" s="6">
        <f t="shared" si="5"/>
        <v>4329236.79</v>
      </c>
      <c r="M161" s="6">
        <f t="shared" si="6"/>
        <v>1731694.716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  <c r="J162" s="6">
        <f t="shared" si="3"/>
        <v>1174</v>
      </c>
      <c r="K162" s="6">
        <f t="shared" si="4"/>
        <v>5510.36</v>
      </c>
      <c r="L162" s="6">
        <f t="shared" si="5"/>
        <v>6469162.64</v>
      </c>
      <c r="M162" s="6">
        <f t="shared" si="6"/>
        <v>2587665.056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  <c r="J163" s="6">
        <f t="shared" si="3"/>
        <v>216</v>
      </c>
      <c r="K163" s="6">
        <f t="shared" si="4"/>
        <v>6625.79</v>
      </c>
      <c r="L163" s="6">
        <f t="shared" si="5"/>
        <v>1431170.64</v>
      </c>
      <c r="M163" s="6">
        <f t="shared" si="6"/>
        <v>572468.256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  <c r="J164" s="6">
        <f t="shared" si="3"/>
        <v>424</v>
      </c>
      <c r="K164" s="6">
        <f t="shared" si="4"/>
        <v>930.31</v>
      </c>
      <c r="L164" s="6">
        <f t="shared" si="5"/>
        <v>394451.44</v>
      </c>
      <c r="M164" s="6">
        <f t="shared" si="6"/>
        <v>157780.576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  <c r="J165" s="6">
        <f t="shared" si="3"/>
        <v>213</v>
      </c>
      <c r="K165" s="6">
        <f t="shared" si="4"/>
        <v>21456.56</v>
      </c>
      <c r="L165" s="6">
        <f t="shared" si="5"/>
        <v>4570247.28</v>
      </c>
      <c r="M165" s="6">
        <f t="shared" si="6"/>
        <v>1828098.912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  <c r="J166" s="6">
        <f t="shared" si="3"/>
        <v>760</v>
      </c>
      <c r="K166" s="6">
        <f t="shared" si="4"/>
        <v>1173.11</v>
      </c>
      <c r="L166" s="6">
        <f t="shared" si="5"/>
        <v>891563.6</v>
      </c>
      <c r="M166" s="6">
        <f t="shared" si="6"/>
        <v>356625.44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  <c r="J167" s="6">
        <f t="shared" si="3"/>
        <v>456</v>
      </c>
      <c r="K167" s="6">
        <f t="shared" si="4"/>
        <v>6368.04</v>
      </c>
      <c r="L167" s="6">
        <f t="shared" si="5"/>
        <v>2903826.24</v>
      </c>
      <c r="M167" s="6">
        <f t="shared" si="6"/>
        <v>1161530.496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  <c r="J168" s="6">
        <f t="shared" si="3"/>
        <v>410</v>
      </c>
      <c r="K168" s="6">
        <f t="shared" si="4"/>
        <v>6565.59</v>
      </c>
      <c r="L168" s="6">
        <f t="shared" si="5"/>
        <v>2691891.9</v>
      </c>
      <c r="M168" s="6">
        <f t="shared" si="6"/>
        <v>1076756.76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  <c r="J169" s="6">
        <f t="shared" si="3"/>
        <v>100</v>
      </c>
      <c r="K169" s="6">
        <f t="shared" si="4"/>
        <v>19800.72</v>
      </c>
      <c r="L169" s="6">
        <f t="shared" si="5"/>
        <v>1980072</v>
      </c>
      <c r="M169" s="6">
        <f t="shared" si="6"/>
        <v>792028.8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  <c r="J170" s="6">
        <f t="shared" si="3"/>
        <v>212</v>
      </c>
      <c r="K170" s="6">
        <f t="shared" si="4"/>
        <v>22496.87</v>
      </c>
      <c r="L170" s="6">
        <f t="shared" si="5"/>
        <v>4769336.44</v>
      </c>
      <c r="M170" s="6">
        <f t="shared" si="6"/>
        <v>1907734.576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  <c r="J171" s="6">
        <f t="shared" si="3"/>
        <v>654</v>
      </c>
      <c r="K171" s="6">
        <f t="shared" si="4"/>
        <v>4885.32</v>
      </c>
      <c r="L171" s="6">
        <f t="shared" si="5"/>
        <v>3194999.28</v>
      </c>
      <c r="M171" s="6">
        <f t="shared" si="6"/>
        <v>1277999.712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  <c r="J172" s="6">
        <f t="shared" si="3"/>
        <v>361</v>
      </c>
      <c r="K172" s="6">
        <f t="shared" si="4"/>
        <v>6591.43</v>
      </c>
      <c r="L172" s="6">
        <f t="shared" si="5"/>
        <v>2379506.23</v>
      </c>
      <c r="M172" s="6">
        <f t="shared" si="6"/>
        <v>951802.492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  <c r="J173" s="6">
        <f t="shared" si="3"/>
        <v>607</v>
      </c>
      <c r="K173" s="6">
        <f t="shared" si="4"/>
        <v>5286.08</v>
      </c>
      <c r="L173" s="6">
        <f t="shared" si="5"/>
        <v>3208650.56</v>
      </c>
      <c r="M173" s="6">
        <f t="shared" si="6"/>
        <v>1283460.224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  <c r="J174" s="6">
        <f t="shared" si="3"/>
        <v>842</v>
      </c>
      <c r="K174" s="6">
        <f t="shared" si="4"/>
        <v>1457.14</v>
      </c>
      <c r="L174" s="6">
        <f t="shared" si="5"/>
        <v>1226911.88</v>
      </c>
      <c r="M174" s="6">
        <f t="shared" si="6"/>
        <v>490764.752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  <c r="J175" s="6">
        <f t="shared" si="3"/>
        <v>296</v>
      </c>
      <c r="K175" s="6">
        <f t="shared" si="4"/>
        <v>6744.7</v>
      </c>
      <c r="L175" s="6">
        <f t="shared" si="5"/>
        <v>1996431.2</v>
      </c>
      <c r="M175" s="6">
        <f t="shared" si="6"/>
        <v>798572.48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  <c r="J176" s="6">
        <f t="shared" si="3"/>
        <v>295</v>
      </c>
      <c r="K176" s="6">
        <f t="shared" si="4"/>
        <v>6703.9</v>
      </c>
      <c r="L176" s="6">
        <f t="shared" si="5"/>
        <v>1977650.5</v>
      </c>
      <c r="M176" s="6">
        <f t="shared" si="6"/>
        <v>791060.2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  <c r="J177" s="6">
        <f t="shared" si="3"/>
        <v>781</v>
      </c>
      <c r="K177" s="6">
        <f t="shared" si="4"/>
        <v>5312.31</v>
      </c>
      <c r="L177" s="6">
        <f t="shared" si="5"/>
        <v>4148914.11</v>
      </c>
      <c r="M177" s="6">
        <f t="shared" si="6"/>
        <v>1659565.644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  <c r="J178" s="6">
        <f t="shared" si="3"/>
        <v>462</v>
      </c>
      <c r="K178" s="6">
        <f t="shared" si="4"/>
        <v>6906.65</v>
      </c>
      <c r="L178" s="6">
        <f t="shared" si="5"/>
        <v>3190872.3</v>
      </c>
      <c r="M178" s="6">
        <f t="shared" si="6"/>
        <v>1276348.92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  <c r="J179" s="6">
        <f t="shared" si="3"/>
        <v>681</v>
      </c>
      <c r="K179" s="6">
        <f t="shared" si="4"/>
        <v>5393.36</v>
      </c>
      <c r="L179" s="6">
        <f t="shared" si="5"/>
        <v>3672878.16</v>
      </c>
      <c r="M179" s="6">
        <f t="shared" si="6"/>
        <v>1469151.264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  <c r="J180" s="6">
        <f t="shared" si="3"/>
        <v>433</v>
      </c>
      <c r="K180" s="6">
        <f t="shared" si="4"/>
        <v>6562.45</v>
      </c>
      <c r="L180" s="6">
        <f t="shared" si="5"/>
        <v>2841540.85</v>
      </c>
      <c r="M180" s="6">
        <f t="shared" si="6"/>
        <v>1136616.34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  <c r="J181" s="6">
        <f t="shared" si="3"/>
        <v>855</v>
      </c>
      <c r="K181" s="6">
        <f t="shared" si="4"/>
        <v>5517.71</v>
      </c>
      <c r="L181" s="6">
        <f t="shared" si="5"/>
        <v>4717642.05</v>
      </c>
      <c r="M181" s="6">
        <f t="shared" si="6"/>
        <v>1887056.82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  <c r="J182" s="6">
        <f t="shared" si="3"/>
        <v>899</v>
      </c>
      <c r="K182" s="6">
        <f t="shared" si="4"/>
        <v>1216.64</v>
      </c>
      <c r="L182" s="6">
        <f t="shared" si="5"/>
        <v>1093759.36</v>
      </c>
      <c r="M182" s="6">
        <f t="shared" si="6"/>
        <v>437503.744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  <c r="J183" s="6">
        <f t="shared" si="3"/>
        <v>214</v>
      </c>
      <c r="K183" s="6">
        <f t="shared" si="4"/>
        <v>20719.22</v>
      </c>
      <c r="L183" s="6">
        <f t="shared" si="5"/>
        <v>4433913.08</v>
      </c>
      <c r="M183" s="6">
        <f t="shared" si="6"/>
        <v>1773565.232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  <c r="J184" s="6">
        <f t="shared" si="3"/>
        <v>124</v>
      </c>
      <c r="K184" s="6">
        <f t="shared" si="4"/>
        <v>21001.72</v>
      </c>
      <c r="L184" s="6">
        <f t="shared" si="5"/>
        <v>2604213.28</v>
      </c>
      <c r="M184" s="6">
        <f t="shared" si="6"/>
        <v>1041685.312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  <c r="J185" s="6">
        <f t="shared" si="3"/>
        <v>128</v>
      </c>
      <c r="K185" s="6">
        <f t="shared" si="4"/>
        <v>21165.49</v>
      </c>
      <c r="L185" s="6">
        <f t="shared" si="5"/>
        <v>2709182.72</v>
      </c>
      <c r="M185" s="6">
        <f t="shared" si="6"/>
        <v>1083673.088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  <c r="J186" s="6">
        <f t="shared" si="3"/>
        <v>345</v>
      </c>
      <c r="K186" s="6">
        <f t="shared" si="4"/>
        <v>7104.02</v>
      </c>
      <c r="L186" s="6">
        <f t="shared" si="5"/>
        <v>2450886.9</v>
      </c>
      <c r="M186" s="6">
        <f t="shared" si="6"/>
        <v>980354.76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  <c r="J187" s="6">
        <f t="shared" si="3"/>
        <v>752</v>
      </c>
      <c r="K187" s="6">
        <f t="shared" si="4"/>
        <v>5325.36</v>
      </c>
      <c r="L187" s="6">
        <f t="shared" si="5"/>
        <v>4004670.72</v>
      </c>
      <c r="M187" s="6">
        <f t="shared" si="6"/>
        <v>1601868.288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  <c r="J188" s="6">
        <f t="shared" si="3"/>
        <v>185</v>
      </c>
      <c r="K188" s="6">
        <f t="shared" si="4"/>
        <v>21704.82</v>
      </c>
      <c r="L188" s="6">
        <f t="shared" si="5"/>
        <v>4015391.7</v>
      </c>
      <c r="M188" s="6">
        <f t="shared" si="6"/>
        <v>1606156.68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  <c r="J189" s="6">
        <f t="shared" si="3"/>
        <v>372</v>
      </c>
      <c r="K189" s="6">
        <f t="shared" si="4"/>
        <v>6994.81</v>
      </c>
      <c r="L189" s="6">
        <f t="shared" si="5"/>
        <v>2602069.32</v>
      </c>
      <c r="M189" s="6">
        <f t="shared" si="6"/>
        <v>1040827.728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  <c r="J190" s="6">
        <f t="shared" si="3"/>
        <v>221</v>
      </c>
      <c r="K190" s="6">
        <f t="shared" si="4"/>
        <v>20016.17</v>
      </c>
      <c r="L190" s="6">
        <f t="shared" si="5"/>
        <v>4423573.57</v>
      </c>
      <c r="M190" s="6">
        <f t="shared" si="6"/>
        <v>1769429.428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  <c r="J191" s="6">
        <f t="shared" si="3"/>
        <v>1113.75</v>
      </c>
      <c r="K191" s="6">
        <f t="shared" si="4"/>
        <v>4591.872</v>
      </c>
      <c r="L191" s="6">
        <f t="shared" si="5"/>
        <v>5114197.44</v>
      </c>
      <c r="M191" s="6">
        <f t="shared" si="6"/>
        <v>1704732.48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  <c r="J192" s="6">
        <f t="shared" si="3"/>
        <v>410</v>
      </c>
      <c r="K192" s="6">
        <f t="shared" si="4"/>
        <v>1334.13</v>
      </c>
      <c r="L192" s="6">
        <f t="shared" si="5"/>
        <v>546993.3</v>
      </c>
      <c r="M192" s="6">
        <f t="shared" si="6"/>
        <v>218797.32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  <c r="J193" s="6">
        <f t="shared" si="3"/>
        <v>154</v>
      </c>
      <c r="K193" s="6">
        <f t="shared" si="4"/>
        <v>20792.98</v>
      </c>
      <c r="L193" s="6">
        <f t="shared" si="5"/>
        <v>3202118.92</v>
      </c>
      <c r="M193" s="6">
        <f t="shared" si="6"/>
        <v>1280847.568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  <c r="J194" s="6">
        <f t="shared" si="3"/>
        <v>1138.75</v>
      </c>
      <c r="K194" s="6">
        <f t="shared" si="4"/>
        <v>4879.359</v>
      </c>
      <c r="L194" s="6">
        <f t="shared" si="5"/>
        <v>5556370.061</v>
      </c>
      <c r="M194" s="6">
        <f t="shared" si="6"/>
        <v>1852123.354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  <c r="J195" s="6">
        <f t="shared" si="3"/>
        <v>172</v>
      </c>
      <c r="K195" s="6">
        <f t="shared" si="4"/>
        <v>20284.66</v>
      </c>
      <c r="L195" s="6">
        <f t="shared" si="5"/>
        <v>3488961.52</v>
      </c>
      <c r="M195" s="6">
        <f t="shared" si="6"/>
        <v>1395584.608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  <c r="J196" s="6">
        <f t="shared" si="3"/>
        <v>660</v>
      </c>
      <c r="K196" s="6">
        <f t="shared" si="4"/>
        <v>5174.61</v>
      </c>
      <c r="L196" s="6">
        <f t="shared" si="5"/>
        <v>3415242.6</v>
      </c>
      <c r="M196" s="6">
        <f t="shared" si="6"/>
        <v>1366097.04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  <c r="J197" s="6">
        <f t="shared" si="3"/>
        <v>707</v>
      </c>
      <c r="K197" s="6">
        <f t="shared" si="4"/>
        <v>5662.49</v>
      </c>
      <c r="L197" s="6">
        <f t="shared" si="5"/>
        <v>4003380.43</v>
      </c>
      <c r="M197" s="6">
        <f t="shared" si="6"/>
        <v>1601352.172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  <c r="J198" s="6">
        <f t="shared" si="3"/>
        <v>674</v>
      </c>
      <c r="K198" s="6">
        <f t="shared" si="4"/>
        <v>1298.57</v>
      </c>
      <c r="L198" s="6">
        <f t="shared" si="5"/>
        <v>875236.18</v>
      </c>
      <c r="M198" s="6">
        <f t="shared" si="6"/>
        <v>350094.472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  <c r="J199" s="6">
        <f t="shared" si="3"/>
        <v>1096</v>
      </c>
      <c r="K199" s="6">
        <f t="shared" si="4"/>
        <v>5181.11</v>
      </c>
      <c r="L199" s="6">
        <f t="shared" si="5"/>
        <v>5678496.56</v>
      </c>
      <c r="M199" s="6">
        <f t="shared" si="6"/>
        <v>2271398.624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  <c r="J200" s="6">
        <f t="shared" si="3"/>
        <v>1060</v>
      </c>
      <c r="K200" s="6">
        <f t="shared" si="4"/>
        <v>1280.48</v>
      </c>
      <c r="L200" s="6">
        <f t="shared" si="5"/>
        <v>1357308.8</v>
      </c>
      <c r="M200" s="6">
        <f t="shared" si="6"/>
        <v>542923.52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  <c r="J201" s="6">
        <f t="shared" si="3"/>
        <v>188</v>
      </c>
      <c r="K201" s="6">
        <f t="shared" si="4"/>
        <v>22244.2</v>
      </c>
      <c r="L201" s="6">
        <f t="shared" si="5"/>
        <v>4181909.6</v>
      </c>
      <c r="M201" s="6">
        <f t="shared" si="6"/>
        <v>1672763.84</v>
      </c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  <col customWidth="1" min="10" max="10" width="14.71"/>
    <col customWidth="1" min="11" max="11" width="15.29"/>
    <col customWidth="1" min="12" max="12" width="15.86"/>
    <col customWidth="1" min="13" max="13" width="24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33</v>
      </c>
      <c r="I1" s="4" t="s">
        <v>34</v>
      </c>
      <c r="J1" s="4" t="s">
        <v>99</v>
      </c>
      <c r="K1" s="4" t="s">
        <v>100</v>
      </c>
      <c r="L1" s="4" t="s">
        <v>101</v>
      </c>
      <c r="M1" s="4" t="s">
        <v>102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  <c r="J2" s="6">
        <f t="shared" ref="J2:J201" si="3">IF(AND(C2="Smartphones", OR(B2="Mar", B2="Jun", B2="Sep")), D2*1.1, D2)</f>
        <v>870</v>
      </c>
      <c r="K2" s="6">
        <f t="shared" ref="K2:K201" si="4">IF(AND(C2="Smartphones", OR(B2="Mar", B2="Jun", B2="Sep")), E2*0.9, E2)</f>
        <v>5429.54</v>
      </c>
      <c r="L2" s="6">
        <f t="shared" ref="L2:L201" si="5">$K2*$J2</f>
        <v>4723699.8</v>
      </c>
      <c r="M2" s="6">
        <f t="shared" ref="M2:M201" si="6">(K2-H2)*J2</f>
        <v>1889479.92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  <c r="H3" s="6">
        <f t="shared" si="1"/>
        <v>4294.146</v>
      </c>
      <c r="I3" s="6">
        <f t="shared" si="2"/>
        <v>821613.268</v>
      </c>
      <c r="J3" s="6">
        <f t="shared" si="3"/>
        <v>287</v>
      </c>
      <c r="K3" s="6">
        <f t="shared" si="4"/>
        <v>7156.91</v>
      </c>
      <c r="L3" s="6">
        <f t="shared" si="5"/>
        <v>2054033.17</v>
      </c>
      <c r="M3" s="6">
        <f t="shared" si="6"/>
        <v>821613.268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  <c r="H4" s="6">
        <f t="shared" si="1"/>
        <v>4034.37</v>
      </c>
      <c r="I4" s="6">
        <f t="shared" si="2"/>
        <v>938663.42</v>
      </c>
      <c r="J4" s="6">
        <f t="shared" si="3"/>
        <v>349</v>
      </c>
      <c r="K4" s="6">
        <f t="shared" si="4"/>
        <v>6723.95</v>
      </c>
      <c r="L4" s="6">
        <f t="shared" si="5"/>
        <v>2346658.55</v>
      </c>
      <c r="M4" s="6">
        <f t="shared" si="6"/>
        <v>938663.42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  <c r="H5" s="6">
        <f t="shared" si="1"/>
        <v>3160.86</v>
      </c>
      <c r="I5" s="6">
        <f t="shared" si="2"/>
        <v>1601502.4</v>
      </c>
      <c r="J5" s="6">
        <f t="shared" si="3"/>
        <v>760</v>
      </c>
      <c r="K5" s="6">
        <f t="shared" si="4"/>
        <v>5268.1</v>
      </c>
      <c r="L5" s="6">
        <f t="shared" si="5"/>
        <v>4003756</v>
      </c>
      <c r="M5" s="6">
        <f t="shared" si="6"/>
        <v>1601502.4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  <c r="H6" s="6">
        <f t="shared" si="1"/>
        <v>2887.308</v>
      </c>
      <c r="I6" s="6">
        <f t="shared" si="2"/>
        <v>2232851.52</v>
      </c>
      <c r="J6" s="6">
        <f t="shared" si="3"/>
        <v>1160</v>
      </c>
      <c r="K6" s="6">
        <f t="shared" si="4"/>
        <v>4812.18</v>
      </c>
      <c r="L6" s="6">
        <f t="shared" si="5"/>
        <v>5582128.8</v>
      </c>
      <c r="M6" s="6">
        <f t="shared" si="6"/>
        <v>2232851.52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  <c r="H7" s="6">
        <f t="shared" si="1"/>
        <v>4128.618</v>
      </c>
      <c r="I7" s="6">
        <f t="shared" si="2"/>
        <v>1219318.516</v>
      </c>
      <c r="J7" s="6">
        <f t="shared" si="3"/>
        <v>443</v>
      </c>
      <c r="K7" s="6">
        <f t="shared" si="4"/>
        <v>6881.03</v>
      </c>
      <c r="L7" s="6">
        <f t="shared" si="5"/>
        <v>3048296.29</v>
      </c>
      <c r="M7" s="6">
        <f t="shared" si="6"/>
        <v>1219318.516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  <c r="H8" s="6">
        <f t="shared" si="1"/>
        <v>3911.952</v>
      </c>
      <c r="I8" s="6">
        <f t="shared" si="2"/>
        <v>871061.312</v>
      </c>
      <c r="J8" s="6">
        <f t="shared" si="3"/>
        <v>334</v>
      </c>
      <c r="K8" s="6">
        <f t="shared" si="4"/>
        <v>6519.92</v>
      </c>
      <c r="L8" s="6">
        <f t="shared" si="5"/>
        <v>2177653.28</v>
      </c>
      <c r="M8" s="6">
        <f t="shared" si="6"/>
        <v>871061.312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  <c r="H9" s="6">
        <f t="shared" si="1"/>
        <v>4190.538</v>
      </c>
      <c r="I9" s="6">
        <f t="shared" si="2"/>
        <v>1293479.396</v>
      </c>
      <c r="J9" s="6">
        <f t="shared" si="3"/>
        <v>463</v>
      </c>
      <c r="K9" s="6">
        <f t="shared" si="4"/>
        <v>6984.23</v>
      </c>
      <c r="L9" s="6">
        <f t="shared" si="5"/>
        <v>3233698.49</v>
      </c>
      <c r="M9" s="6">
        <f t="shared" si="6"/>
        <v>1293479.396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  <c r="J10" s="6">
        <f t="shared" si="3"/>
        <v>203</v>
      </c>
      <c r="K10" s="6">
        <f t="shared" si="4"/>
        <v>21142.61</v>
      </c>
      <c r="L10" s="6">
        <f t="shared" si="5"/>
        <v>4291949.83</v>
      </c>
      <c r="M10" s="6">
        <f t="shared" si="6"/>
        <v>1716779.932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  <c r="J11" s="6">
        <f t="shared" si="3"/>
        <v>1101.1</v>
      </c>
      <c r="K11" s="6">
        <f t="shared" si="4"/>
        <v>5044.365</v>
      </c>
      <c r="L11" s="6">
        <f t="shared" si="5"/>
        <v>5554350.302</v>
      </c>
      <c r="M11" s="6">
        <f t="shared" si="6"/>
        <v>1851450.101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  <c r="H12" s="6">
        <f t="shared" si="1"/>
        <v>12464.55</v>
      </c>
      <c r="I12" s="6">
        <f t="shared" si="2"/>
        <v>938996.1</v>
      </c>
      <c r="J12" s="6">
        <f t="shared" si="3"/>
        <v>113</v>
      </c>
      <c r="K12" s="6">
        <f t="shared" si="4"/>
        <v>20774.25</v>
      </c>
      <c r="L12" s="6">
        <f t="shared" si="5"/>
        <v>2347490.25</v>
      </c>
      <c r="M12" s="6">
        <f t="shared" si="6"/>
        <v>938996.1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  <c r="J13" s="6">
        <f t="shared" si="3"/>
        <v>937</v>
      </c>
      <c r="K13" s="6">
        <f t="shared" si="4"/>
        <v>5537.73</v>
      </c>
      <c r="L13" s="6">
        <f t="shared" si="5"/>
        <v>5188853.01</v>
      </c>
      <c r="M13" s="6">
        <f t="shared" si="6"/>
        <v>2075541.204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  <c r="J14" s="6">
        <f t="shared" si="3"/>
        <v>787</v>
      </c>
      <c r="K14" s="6">
        <f t="shared" si="4"/>
        <v>5073.89</v>
      </c>
      <c r="L14" s="6">
        <f t="shared" si="5"/>
        <v>3993151.43</v>
      </c>
      <c r="M14" s="6">
        <f t="shared" si="6"/>
        <v>1597260.572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  <c r="J15" s="6">
        <f t="shared" si="3"/>
        <v>208</v>
      </c>
      <c r="K15" s="6">
        <f t="shared" si="4"/>
        <v>6740.33</v>
      </c>
      <c r="L15" s="6">
        <f t="shared" si="5"/>
        <v>1401988.64</v>
      </c>
      <c r="M15" s="6">
        <f t="shared" si="6"/>
        <v>560795.456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  <c r="J16" s="6">
        <f t="shared" si="3"/>
        <v>338</v>
      </c>
      <c r="K16" s="6">
        <f t="shared" si="4"/>
        <v>6890.89</v>
      </c>
      <c r="L16" s="6">
        <f t="shared" si="5"/>
        <v>2329120.82</v>
      </c>
      <c r="M16" s="6">
        <f t="shared" si="6"/>
        <v>931648.328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  <c r="J17" s="6">
        <f t="shared" si="3"/>
        <v>240</v>
      </c>
      <c r="K17" s="6">
        <f t="shared" si="4"/>
        <v>6427.98</v>
      </c>
      <c r="L17" s="6">
        <f t="shared" si="5"/>
        <v>1542715.2</v>
      </c>
      <c r="M17" s="6">
        <f t="shared" si="6"/>
        <v>617086.08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  <c r="H18" s="6">
        <f t="shared" si="1"/>
        <v>709.338</v>
      </c>
      <c r="I18" s="6">
        <f t="shared" si="2"/>
        <v>204289.344</v>
      </c>
      <c r="J18" s="6">
        <f t="shared" si="3"/>
        <v>432</v>
      </c>
      <c r="K18" s="6">
        <f t="shared" si="4"/>
        <v>1182.23</v>
      </c>
      <c r="L18" s="6">
        <f t="shared" si="5"/>
        <v>510723.36</v>
      </c>
      <c r="M18" s="6">
        <f t="shared" si="6"/>
        <v>204289.344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  <c r="H19" s="6">
        <f t="shared" si="1"/>
        <v>695.376</v>
      </c>
      <c r="I19" s="6">
        <f t="shared" si="2"/>
        <v>521532</v>
      </c>
      <c r="J19" s="6">
        <f t="shared" si="3"/>
        <v>1125</v>
      </c>
      <c r="K19" s="6">
        <f t="shared" si="4"/>
        <v>1158.96</v>
      </c>
      <c r="L19" s="6">
        <f t="shared" si="5"/>
        <v>1303830</v>
      </c>
      <c r="M19" s="6">
        <f t="shared" si="6"/>
        <v>521532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  <c r="J20" s="6">
        <f t="shared" si="3"/>
        <v>1167.1</v>
      </c>
      <c r="K20" s="6">
        <f t="shared" si="4"/>
        <v>4854.204</v>
      </c>
      <c r="L20" s="6">
        <f t="shared" si="5"/>
        <v>5665341.488</v>
      </c>
      <c r="M20" s="6">
        <f t="shared" si="6"/>
        <v>1888447.163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  <c r="J21" s="6">
        <f t="shared" si="3"/>
        <v>806</v>
      </c>
      <c r="K21" s="6">
        <f t="shared" si="4"/>
        <v>5447.22</v>
      </c>
      <c r="L21" s="6">
        <f t="shared" si="5"/>
        <v>4390459.32</v>
      </c>
      <c r="M21" s="6">
        <f t="shared" si="6"/>
        <v>1756183.728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  <c r="J22" s="6">
        <f t="shared" si="3"/>
        <v>1174</v>
      </c>
      <c r="K22" s="6">
        <f t="shared" si="4"/>
        <v>5288.04</v>
      </c>
      <c r="L22" s="6">
        <f t="shared" si="5"/>
        <v>6208158.96</v>
      </c>
      <c r="M22" s="6">
        <f t="shared" si="6"/>
        <v>2483263.584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  <c r="H23" s="6">
        <f t="shared" si="1"/>
        <v>4193.01</v>
      </c>
      <c r="I23" s="6">
        <f t="shared" si="2"/>
        <v>1201996.2</v>
      </c>
      <c r="J23" s="6">
        <f t="shared" si="3"/>
        <v>430</v>
      </c>
      <c r="K23" s="6">
        <f t="shared" si="4"/>
        <v>6988.35</v>
      </c>
      <c r="L23" s="6">
        <f t="shared" si="5"/>
        <v>3004990.5</v>
      </c>
      <c r="M23" s="6">
        <f t="shared" si="6"/>
        <v>1201996.2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  <c r="J24" s="6">
        <f t="shared" si="3"/>
        <v>442</v>
      </c>
      <c r="K24" s="6">
        <f t="shared" si="4"/>
        <v>6850.43</v>
      </c>
      <c r="L24" s="6">
        <f t="shared" si="5"/>
        <v>3027890.06</v>
      </c>
      <c r="M24" s="6">
        <f t="shared" si="6"/>
        <v>1211156.024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  <c r="H25" s="6">
        <f t="shared" si="1"/>
        <v>789.492</v>
      </c>
      <c r="I25" s="6">
        <f t="shared" si="2"/>
        <v>476326.84</v>
      </c>
      <c r="J25" s="6">
        <f t="shared" si="3"/>
        <v>905</v>
      </c>
      <c r="K25" s="6">
        <f t="shared" si="4"/>
        <v>1315.82</v>
      </c>
      <c r="L25" s="6">
        <f t="shared" si="5"/>
        <v>1190817.1</v>
      </c>
      <c r="M25" s="6">
        <f t="shared" si="6"/>
        <v>476326.84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  <c r="J26" s="6">
        <f t="shared" si="3"/>
        <v>228</v>
      </c>
      <c r="K26" s="6">
        <f t="shared" si="4"/>
        <v>21186.31</v>
      </c>
      <c r="L26" s="6">
        <f t="shared" si="5"/>
        <v>4830478.68</v>
      </c>
      <c r="M26" s="6">
        <f t="shared" si="6"/>
        <v>1932191.472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  <c r="H27" s="6">
        <f t="shared" si="1"/>
        <v>3756.57</v>
      </c>
      <c r="I27" s="6">
        <f t="shared" si="2"/>
        <v>994238.86</v>
      </c>
      <c r="J27" s="6">
        <f t="shared" si="3"/>
        <v>397</v>
      </c>
      <c r="K27" s="6">
        <f t="shared" si="4"/>
        <v>6260.95</v>
      </c>
      <c r="L27" s="6">
        <f t="shared" si="5"/>
        <v>2485597.15</v>
      </c>
      <c r="M27" s="6">
        <f t="shared" si="6"/>
        <v>994238.86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  <c r="J28" s="6">
        <f t="shared" si="3"/>
        <v>833</v>
      </c>
      <c r="K28" s="6">
        <f t="shared" si="4"/>
        <v>5390.59</v>
      </c>
      <c r="L28" s="6">
        <f t="shared" si="5"/>
        <v>4490361.47</v>
      </c>
      <c r="M28" s="6">
        <f t="shared" si="6"/>
        <v>1796144.588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  <c r="H29" s="6">
        <f t="shared" si="1"/>
        <v>710.034</v>
      </c>
      <c r="I29" s="6">
        <f t="shared" si="2"/>
        <v>242358.272</v>
      </c>
      <c r="J29" s="6">
        <f t="shared" si="3"/>
        <v>512</v>
      </c>
      <c r="K29" s="6">
        <f t="shared" si="4"/>
        <v>1183.39</v>
      </c>
      <c r="L29" s="6">
        <f t="shared" si="5"/>
        <v>605895.68</v>
      </c>
      <c r="M29" s="6">
        <f t="shared" si="6"/>
        <v>242358.272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  <c r="J30" s="6">
        <f t="shared" si="3"/>
        <v>909</v>
      </c>
      <c r="K30" s="6">
        <f t="shared" si="4"/>
        <v>1308.67</v>
      </c>
      <c r="L30" s="6">
        <f t="shared" si="5"/>
        <v>1189581.03</v>
      </c>
      <c r="M30" s="6">
        <f t="shared" si="6"/>
        <v>475832.412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  <c r="H31" s="6">
        <f t="shared" si="1"/>
        <v>4200.9</v>
      </c>
      <c r="I31" s="6">
        <f t="shared" si="2"/>
        <v>873787.2</v>
      </c>
      <c r="J31" s="6">
        <f t="shared" si="3"/>
        <v>312</v>
      </c>
      <c r="K31" s="6">
        <f t="shared" si="4"/>
        <v>7001.5</v>
      </c>
      <c r="L31" s="6">
        <f t="shared" si="5"/>
        <v>2184468</v>
      </c>
      <c r="M31" s="6">
        <f t="shared" si="6"/>
        <v>873787.2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  <c r="J32" s="6">
        <f t="shared" si="3"/>
        <v>824</v>
      </c>
      <c r="K32" s="6">
        <f t="shared" si="4"/>
        <v>5586.7</v>
      </c>
      <c r="L32" s="6">
        <f t="shared" si="5"/>
        <v>4603440.8</v>
      </c>
      <c r="M32" s="6">
        <f t="shared" si="6"/>
        <v>1841376.32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  <c r="H33" s="6">
        <f t="shared" si="1"/>
        <v>783.948</v>
      </c>
      <c r="I33" s="6">
        <f t="shared" si="2"/>
        <v>337620.272</v>
      </c>
      <c r="J33" s="6">
        <f t="shared" si="3"/>
        <v>646</v>
      </c>
      <c r="K33" s="6">
        <f t="shared" si="4"/>
        <v>1306.58</v>
      </c>
      <c r="L33" s="6">
        <f t="shared" si="5"/>
        <v>844050.68</v>
      </c>
      <c r="M33" s="6">
        <f t="shared" si="6"/>
        <v>337620.272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  <c r="J34" s="6">
        <f t="shared" si="3"/>
        <v>893</v>
      </c>
      <c r="K34" s="6">
        <f t="shared" si="4"/>
        <v>5580.56</v>
      </c>
      <c r="L34" s="6">
        <f t="shared" si="5"/>
        <v>4983440.08</v>
      </c>
      <c r="M34" s="6">
        <f t="shared" si="6"/>
        <v>1993376.032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  <c r="H35" s="6">
        <f t="shared" si="1"/>
        <v>635.886</v>
      </c>
      <c r="I35" s="6">
        <f t="shared" si="2"/>
        <v>248419.464</v>
      </c>
      <c r="J35" s="6">
        <f t="shared" si="3"/>
        <v>586</v>
      </c>
      <c r="K35" s="6">
        <f t="shared" si="4"/>
        <v>1059.81</v>
      </c>
      <c r="L35" s="6">
        <f t="shared" si="5"/>
        <v>621048.66</v>
      </c>
      <c r="M35" s="6">
        <f t="shared" si="6"/>
        <v>248419.464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  <c r="H36" s="6">
        <f t="shared" si="1"/>
        <v>773.25</v>
      </c>
      <c r="I36" s="6">
        <f t="shared" si="2"/>
        <v>413431</v>
      </c>
      <c r="J36" s="6">
        <f t="shared" si="3"/>
        <v>802</v>
      </c>
      <c r="K36" s="6">
        <f t="shared" si="4"/>
        <v>1288.75</v>
      </c>
      <c r="L36" s="6">
        <f t="shared" si="5"/>
        <v>1033577.5</v>
      </c>
      <c r="M36" s="6">
        <f t="shared" si="6"/>
        <v>413431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  <c r="H37" s="6">
        <f t="shared" si="1"/>
        <v>3252.66</v>
      </c>
      <c r="I37" s="6">
        <f t="shared" si="2"/>
        <v>2493706</v>
      </c>
      <c r="J37" s="6">
        <f t="shared" si="3"/>
        <v>1150</v>
      </c>
      <c r="K37" s="6">
        <f t="shared" si="4"/>
        <v>5421.1</v>
      </c>
      <c r="L37" s="6">
        <f t="shared" si="5"/>
        <v>6234265</v>
      </c>
      <c r="M37" s="6">
        <f t="shared" si="6"/>
        <v>2493706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  <c r="J38" s="6">
        <f t="shared" si="3"/>
        <v>872</v>
      </c>
      <c r="K38" s="6">
        <f t="shared" si="4"/>
        <v>1220.57</v>
      </c>
      <c r="L38" s="6">
        <f t="shared" si="5"/>
        <v>1064337.04</v>
      </c>
      <c r="M38" s="6">
        <f t="shared" si="6"/>
        <v>425734.816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  <c r="H39" s="6">
        <f t="shared" si="1"/>
        <v>633.39</v>
      </c>
      <c r="I39" s="6">
        <f t="shared" si="2"/>
        <v>314583.7</v>
      </c>
      <c r="J39" s="6">
        <f t="shared" si="3"/>
        <v>745</v>
      </c>
      <c r="K39" s="6">
        <f t="shared" si="4"/>
        <v>1055.65</v>
      </c>
      <c r="L39" s="6">
        <f t="shared" si="5"/>
        <v>786459.25</v>
      </c>
      <c r="M39" s="6">
        <f t="shared" si="6"/>
        <v>314583.7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  <c r="J40" s="6">
        <f t="shared" si="3"/>
        <v>601</v>
      </c>
      <c r="K40" s="6">
        <f t="shared" si="4"/>
        <v>5500.1</v>
      </c>
      <c r="L40" s="6">
        <f t="shared" si="5"/>
        <v>3305560.1</v>
      </c>
      <c r="M40" s="6">
        <f t="shared" si="6"/>
        <v>1322224.04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  <c r="J41" s="6">
        <f t="shared" si="3"/>
        <v>407</v>
      </c>
      <c r="K41" s="6">
        <f t="shared" si="4"/>
        <v>6745.73</v>
      </c>
      <c r="L41" s="6">
        <f t="shared" si="5"/>
        <v>2745512.11</v>
      </c>
      <c r="M41" s="6">
        <f t="shared" si="6"/>
        <v>1098204.844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  <c r="H42" s="6">
        <f t="shared" si="1"/>
        <v>679.2</v>
      </c>
      <c r="I42" s="6">
        <f t="shared" si="2"/>
        <v>485401.6</v>
      </c>
      <c r="J42" s="6">
        <f t="shared" si="3"/>
        <v>1072</v>
      </c>
      <c r="K42" s="6">
        <f t="shared" si="4"/>
        <v>1132</v>
      </c>
      <c r="L42" s="6">
        <f t="shared" si="5"/>
        <v>1213504</v>
      </c>
      <c r="M42" s="6">
        <f t="shared" si="6"/>
        <v>485401.6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  <c r="H43" s="6">
        <f t="shared" si="1"/>
        <v>733.938</v>
      </c>
      <c r="I43" s="6">
        <f t="shared" si="2"/>
        <v>319507.676</v>
      </c>
      <c r="J43" s="6">
        <f t="shared" si="3"/>
        <v>653</v>
      </c>
      <c r="K43" s="6">
        <f t="shared" si="4"/>
        <v>1223.23</v>
      </c>
      <c r="L43" s="6">
        <f t="shared" si="5"/>
        <v>798769.19</v>
      </c>
      <c r="M43" s="6">
        <f t="shared" si="6"/>
        <v>319507.676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  <c r="J44" s="6">
        <f t="shared" si="3"/>
        <v>1030.7</v>
      </c>
      <c r="K44" s="6">
        <f t="shared" si="4"/>
        <v>4251.699</v>
      </c>
      <c r="L44" s="6">
        <f t="shared" si="5"/>
        <v>4382226.159</v>
      </c>
      <c r="M44" s="6">
        <f t="shared" si="6"/>
        <v>1460742.053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  <c r="H45" s="6">
        <f t="shared" si="1"/>
        <v>671.808</v>
      </c>
      <c r="I45" s="6">
        <f t="shared" si="2"/>
        <v>356953.984</v>
      </c>
      <c r="J45" s="6">
        <f t="shared" si="3"/>
        <v>797</v>
      </c>
      <c r="K45" s="6">
        <f t="shared" si="4"/>
        <v>1119.68</v>
      </c>
      <c r="L45" s="6">
        <f t="shared" si="5"/>
        <v>892384.96</v>
      </c>
      <c r="M45" s="6">
        <f t="shared" si="6"/>
        <v>356953.984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  <c r="H46" s="6">
        <f t="shared" si="1"/>
        <v>745.47</v>
      </c>
      <c r="I46" s="6">
        <f t="shared" si="2"/>
        <v>393111.18</v>
      </c>
      <c r="J46" s="6">
        <f t="shared" si="3"/>
        <v>791</v>
      </c>
      <c r="K46" s="6">
        <f t="shared" si="4"/>
        <v>1242.45</v>
      </c>
      <c r="L46" s="6">
        <f t="shared" si="5"/>
        <v>982777.95</v>
      </c>
      <c r="M46" s="6">
        <f t="shared" si="6"/>
        <v>393111.18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  <c r="J47" s="6">
        <f t="shared" si="3"/>
        <v>221</v>
      </c>
      <c r="K47" s="6">
        <f t="shared" si="4"/>
        <v>6982.16</v>
      </c>
      <c r="L47" s="6">
        <f t="shared" si="5"/>
        <v>1543057.36</v>
      </c>
      <c r="M47" s="6">
        <f t="shared" si="6"/>
        <v>617222.944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  <c r="J48" s="6">
        <f t="shared" si="3"/>
        <v>1278.2</v>
      </c>
      <c r="K48" s="6">
        <f t="shared" si="4"/>
        <v>4819.806</v>
      </c>
      <c r="L48" s="6">
        <f t="shared" si="5"/>
        <v>6160676.029</v>
      </c>
      <c r="M48" s="6">
        <f t="shared" si="6"/>
        <v>2053558.676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  <c r="H49" s="6">
        <f t="shared" si="1"/>
        <v>4168.89</v>
      </c>
      <c r="I49" s="6">
        <f t="shared" si="2"/>
        <v>961623.96</v>
      </c>
      <c r="J49" s="6">
        <f t="shared" si="3"/>
        <v>346</v>
      </c>
      <c r="K49" s="6">
        <f t="shared" si="4"/>
        <v>6948.15</v>
      </c>
      <c r="L49" s="6">
        <f t="shared" si="5"/>
        <v>2404059.9</v>
      </c>
      <c r="M49" s="6">
        <f t="shared" si="6"/>
        <v>961623.96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  <c r="H50" s="6">
        <f t="shared" si="1"/>
        <v>613.002</v>
      </c>
      <c r="I50" s="6">
        <f t="shared" si="2"/>
        <v>252965.492</v>
      </c>
      <c r="J50" s="6">
        <f t="shared" si="3"/>
        <v>619</v>
      </c>
      <c r="K50" s="6">
        <f t="shared" si="4"/>
        <v>1021.67</v>
      </c>
      <c r="L50" s="6">
        <f t="shared" si="5"/>
        <v>632413.73</v>
      </c>
      <c r="M50" s="6">
        <f t="shared" si="6"/>
        <v>252965.492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  <c r="H51" s="6">
        <f t="shared" si="1"/>
        <v>705.414</v>
      </c>
      <c r="I51" s="6">
        <f t="shared" si="2"/>
        <v>351766.448</v>
      </c>
      <c r="J51" s="6">
        <f t="shared" si="3"/>
        <v>748</v>
      </c>
      <c r="K51" s="6">
        <f t="shared" si="4"/>
        <v>1175.69</v>
      </c>
      <c r="L51" s="6">
        <f t="shared" si="5"/>
        <v>879416.12</v>
      </c>
      <c r="M51" s="6">
        <f t="shared" si="6"/>
        <v>351766.448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  <c r="H52" s="6">
        <f t="shared" si="1"/>
        <v>669.192</v>
      </c>
      <c r="I52" s="6">
        <f t="shared" si="2"/>
        <v>229755.92</v>
      </c>
      <c r="J52" s="6">
        <f t="shared" si="3"/>
        <v>515</v>
      </c>
      <c r="K52" s="6">
        <f t="shared" si="4"/>
        <v>1115.32</v>
      </c>
      <c r="L52" s="6">
        <f t="shared" si="5"/>
        <v>574389.8</v>
      </c>
      <c r="M52" s="6">
        <f t="shared" si="6"/>
        <v>229755.92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  <c r="J53" s="6">
        <f t="shared" si="3"/>
        <v>1165</v>
      </c>
      <c r="K53" s="6">
        <f t="shared" si="4"/>
        <v>4997.03</v>
      </c>
      <c r="L53" s="6">
        <f t="shared" si="5"/>
        <v>5821539.95</v>
      </c>
      <c r="M53" s="6">
        <f t="shared" si="6"/>
        <v>2328615.98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  <c r="J54" s="6">
        <f t="shared" si="3"/>
        <v>131</v>
      </c>
      <c r="K54" s="6">
        <f t="shared" si="4"/>
        <v>20581.82</v>
      </c>
      <c r="L54" s="6">
        <f t="shared" si="5"/>
        <v>2696218.42</v>
      </c>
      <c r="M54" s="6">
        <f t="shared" si="6"/>
        <v>1078487.368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  <c r="J55" s="6">
        <f t="shared" si="3"/>
        <v>116</v>
      </c>
      <c r="K55" s="6">
        <f t="shared" si="4"/>
        <v>22611.68</v>
      </c>
      <c r="L55" s="6">
        <f t="shared" si="5"/>
        <v>2622954.88</v>
      </c>
      <c r="M55" s="6">
        <f t="shared" si="6"/>
        <v>1049181.952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  <c r="J56" s="6">
        <f t="shared" si="3"/>
        <v>138</v>
      </c>
      <c r="K56" s="6">
        <f t="shared" si="4"/>
        <v>22224.1</v>
      </c>
      <c r="L56" s="6">
        <f t="shared" si="5"/>
        <v>3066925.8</v>
      </c>
      <c r="M56" s="6">
        <f t="shared" si="6"/>
        <v>1226770.32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  <c r="J57" s="6">
        <f t="shared" si="3"/>
        <v>1105</v>
      </c>
      <c r="K57" s="6">
        <f t="shared" si="4"/>
        <v>5179.22</v>
      </c>
      <c r="L57" s="6">
        <f t="shared" si="5"/>
        <v>5723038.1</v>
      </c>
      <c r="M57" s="6">
        <f t="shared" si="6"/>
        <v>2289215.24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  <c r="J58" s="6">
        <f t="shared" si="3"/>
        <v>1111</v>
      </c>
      <c r="K58" s="6">
        <f t="shared" si="4"/>
        <v>5188.81</v>
      </c>
      <c r="L58" s="6">
        <f t="shared" si="5"/>
        <v>5764767.91</v>
      </c>
      <c r="M58" s="6">
        <f t="shared" si="6"/>
        <v>2305907.164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  <c r="J59" s="6">
        <f t="shared" si="3"/>
        <v>1126</v>
      </c>
      <c r="K59" s="6">
        <f t="shared" si="4"/>
        <v>1187.23</v>
      </c>
      <c r="L59" s="6">
        <f t="shared" si="5"/>
        <v>1336820.98</v>
      </c>
      <c r="M59" s="6">
        <f t="shared" si="6"/>
        <v>534728.392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  <c r="J60" s="6">
        <f t="shared" si="3"/>
        <v>162</v>
      </c>
      <c r="K60" s="6">
        <f t="shared" si="4"/>
        <v>21169.79</v>
      </c>
      <c r="L60" s="6">
        <f t="shared" si="5"/>
        <v>3429505.98</v>
      </c>
      <c r="M60" s="6">
        <f t="shared" si="6"/>
        <v>1371802.392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  <c r="J61" s="6">
        <f t="shared" si="3"/>
        <v>1012</v>
      </c>
      <c r="K61" s="6">
        <f t="shared" si="4"/>
        <v>1259.56</v>
      </c>
      <c r="L61" s="6">
        <f t="shared" si="5"/>
        <v>1274674.72</v>
      </c>
      <c r="M61" s="6">
        <f t="shared" si="6"/>
        <v>509869.888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  <c r="J62" s="6">
        <f t="shared" si="3"/>
        <v>1019</v>
      </c>
      <c r="K62" s="6">
        <f t="shared" si="4"/>
        <v>1126.96</v>
      </c>
      <c r="L62" s="6">
        <f t="shared" si="5"/>
        <v>1148372.24</v>
      </c>
      <c r="M62" s="6">
        <f t="shared" si="6"/>
        <v>459348.896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  <c r="J63" s="6">
        <f t="shared" si="3"/>
        <v>343</v>
      </c>
      <c r="K63" s="6">
        <f t="shared" si="4"/>
        <v>6764.94</v>
      </c>
      <c r="L63" s="6">
        <f t="shared" si="5"/>
        <v>2320374.42</v>
      </c>
      <c r="M63" s="6">
        <f t="shared" si="6"/>
        <v>928149.768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  <c r="J64" s="6">
        <f t="shared" si="3"/>
        <v>790.9</v>
      </c>
      <c r="K64" s="6">
        <f t="shared" si="4"/>
        <v>4689.99</v>
      </c>
      <c r="L64" s="6">
        <f t="shared" si="5"/>
        <v>3709313.091</v>
      </c>
      <c r="M64" s="6">
        <f t="shared" si="6"/>
        <v>1236437.697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  <c r="J65" s="6">
        <f t="shared" si="3"/>
        <v>726</v>
      </c>
      <c r="K65" s="6">
        <f t="shared" si="4"/>
        <v>4966.17</v>
      </c>
      <c r="L65" s="6">
        <f t="shared" si="5"/>
        <v>3605439.42</v>
      </c>
      <c r="M65" s="6">
        <f t="shared" si="6"/>
        <v>1442175.768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  <c r="J66" s="6">
        <f t="shared" si="3"/>
        <v>221</v>
      </c>
      <c r="K66" s="6">
        <f t="shared" si="4"/>
        <v>21120.04</v>
      </c>
      <c r="L66" s="6">
        <f t="shared" si="5"/>
        <v>4667528.84</v>
      </c>
      <c r="M66" s="6">
        <f t="shared" si="6"/>
        <v>1867011.536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  <c r="J67" s="6">
        <f t="shared" si="3"/>
        <v>871</v>
      </c>
      <c r="K67" s="6">
        <f t="shared" si="4"/>
        <v>5169.33</v>
      </c>
      <c r="L67" s="6">
        <f t="shared" si="5"/>
        <v>4502486.43</v>
      </c>
      <c r="M67" s="6">
        <f t="shared" si="6"/>
        <v>1800994.572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  <c r="J68" s="6">
        <f t="shared" si="3"/>
        <v>930.6</v>
      </c>
      <c r="K68" s="6">
        <f t="shared" si="4"/>
        <v>4785.579</v>
      </c>
      <c r="L68" s="6">
        <f t="shared" si="5"/>
        <v>4453459.817</v>
      </c>
      <c r="M68" s="6">
        <f t="shared" si="6"/>
        <v>1484486.606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  <c r="J69" s="6">
        <f t="shared" si="3"/>
        <v>900.9</v>
      </c>
      <c r="K69" s="6">
        <f t="shared" si="4"/>
        <v>4663.278</v>
      </c>
      <c r="L69" s="6">
        <f t="shared" si="5"/>
        <v>4201147.15</v>
      </c>
      <c r="M69" s="6">
        <f t="shared" si="6"/>
        <v>1400382.383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  <c r="J70" s="6">
        <f t="shared" si="3"/>
        <v>803</v>
      </c>
      <c r="K70" s="6">
        <f t="shared" si="4"/>
        <v>5190.15</v>
      </c>
      <c r="L70" s="6">
        <f t="shared" si="5"/>
        <v>4167690.45</v>
      </c>
      <c r="M70" s="6">
        <f t="shared" si="6"/>
        <v>1667076.18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  <c r="J71" s="6">
        <f t="shared" si="3"/>
        <v>109</v>
      </c>
      <c r="K71" s="6">
        <f t="shared" si="4"/>
        <v>22377.44</v>
      </c>
      <c r="L71" s="6">
        <f t="shared" si="5"/>
        <v>2439140.96</v>
      </c>
      <c r="M71" s="6">
        <f t="shared" si="6"/>
        <v>975656.384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  <c r="H72" s="6">
        <f t="shared" si="1"/>
        <v>911.22</v>
      </c>
      <c r="I72" s="6">
        <f t="shared" si="2"/>
        <v>377852.56</v>
      </c>
      <c r="J72" s="6">
        <f t="shared" si="3"/>
        <v>622</v>
      </c>
      <c r="K72" s="6">
        <f t="shared" si="4"/>
        <v>1518.7</v>
      </c>
      <c r="L72" s="6">
        <f t="shared" si="5"/>
        <v>944631.4</v>
      </c>
      <c r="M72" s="6">
        <f t="shared" si="6"/>
        <v>377852.56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  <c r="J73" s="6">
        <f t="shared" si="3"/>
        <v>227</v>
      </c>
      <c r="K73" s="6">
        <f t="shared" si="4"/>
        <v>21567.33</v>
      </c>
      <c r="L73" s="6">
        <f t="shared" si="5"/>
        <v>4895783.91</v>
      </c>
      <c r="M73" s="6">
        <f t="shared" si="6"/>
        <v>1958313.564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  <c r="J74" s="6">
        <f t="shared" si="3"/>
        <v>1089</v>
      </c>
      <c r="K74" s="6">
        <f t="shared" si="4"/>
        <v>1096.56</v>
      </c>
      <c r="L74" s="6">
        <f t="shared" si="5"/>
        <v>1194153.84</v>
      </c>
      <c r="M74" s="6">
        <f t="shared" si="6"/>
        <v>477661.536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  <c r="J75" s="6">
        <f t="shared" si="3"/>
        <v>264</v>
      </c>
      <c r="K75" s="6">
        <f t="shared" si="4"/>
        <v>6761.28</v>
      </c>
      <c r="L75" s="6">
        <f t="shared" si="5"/>
        <v>1784977.92</v>
      </c>
      <c r="M75" s="6">
        <f t="shared" si="6"/>
        <v>713991.168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  <c r="H76" s="6">
        <f t="shared" si="1"/>
        <v>690.816</v>
      </c>
      <c r="I76" s="6">
        <f t="shared" si="2"/>
        <v>315012.096</v>
      </c>
      <c r="J76" s="6">
        <f t="shared" si="3"/>
        <v>684</v>
      </c>
      <c r="K76" s="6">
        <f t="shared" si="4"/>
        <v>1151.36</v>
      </c>
      <c r="L76" s="6">
        <f t="shared" si="5"/>
        <v>787530.24</v>
      </c>
      <c r="M76" s="6">
        <f t="shared" si="6"/>
        <v>315012.096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  <c r="J77" s="6">
        <f t="shared" si="3"/>
        <v>214</v>
      </c>
      <c r="K77" s="6">
        <f t="shared" si="4"/>
        <v>21666.08</v>
      </c>
      <c r="L77" s="6">
        <f t="shared" si="5"/>
        <v>4636541.12</v>
      </c>
      <c r="M77" s="6">
        <f t="shared" si="6"/>
        <v>1854616.448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  <c r="J78" s="6">
        <f t="shared" si="3"/>
        <v>1092</v>
      </c>
      <c r="K78" s="6">
        <f t="shared" si="4"/>
        <v>5389.73</v>
      </c>
      <c r="L78" s="6">
        <f t="shared" si="5"/>
        <v>5885585.16</v>
      </c>
      <c r="M78" s="6">
        <f t="shared" si="6"/>
        <v>2354234.064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  <c r="H79" s="6">
        <f t="shared" si="1"/>
        <v>715.278</v>
      </c>
      <c r="I79" s="6">
        <f t="shared" si="2"/>
        <v>281819.532</v>
      </c>
      <c r="J79" s="6">
        <f t="shared" si="3"/>
        <v>591</v>
      </c>
      <c r="K79" s="6">
        <f t="shared" si="4"/>
        <v>1192.13</v>
      </c>
      <c r="L79" s="6">
        <f t="shared" si="5"/>
        <v>704548.83</v>
      </c>
      <c r="M79" s="6">
        <f t="shared" si="6"/>
        <v>281819.532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  <c r="J80" s="6">
        <f t="shared" si="3"/>
        <v>195</v>
      </c>
      <c r="K80" s="6">
        <f t="shared" si="4"/>
        <v>21937.68</v>
      </c>
      <c r="L80" s="6">
        <f t="shared" si="5"/>
        <v>4277847.6</v>
      </c>
      <c r="M80" s="6">
        <f t="shared" si="6"/>
        <v>1711139.04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  <c r="J81" s="6">
        <f t="shared" si="3"/>
        <v>878</v>
      </c>
      <c r="K81" s="6">
        <f t="shared" si="4"/>
        <v>5259.56</v>
      </c>
      <c r="L81" s="6">
        <f t="shared" si="5"/>
        <v>4617893.68</v>
      </c>
      <c r="M81" s="6">
        <f t="shared" si="6"/>
        <v>1847157.472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  <c r="J82" s="6">
        <f t="shared" si="3"/>
        <v>661</v>
      </c>
      <c r="K82" s="6">
        <f t="shared" si="4"/>
        <v>4808.68</v>
      </c>
      <c r="L82" s="6">
        <f t="shared" si="5"/>
        <v>3178537.48</v>
      </c>
      <c r="M82" s="6">
        <f t="shared" si="6"/>
        <v>1271414.992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  <c r="H83" s="6">
        <f t="shared" si="1"/>
        <v>715.41</v>
      </c>
      <c r="I83" s="6">
        <f t="shared" si="2"/>
        <v>379167.3</v>
      </c>
      <c r="J83" s="6">
        <f t="shared" si="3"/>
        <v>795</v>
      </c>
      <c r="K83" s="6">
        <f t="shared" si="4"/>
        <v>1192.35</v>
      </c>
      <c r="L83" s="6">
        <f t="shared" si="5"/>
        <v>947918.25</v>
      </c>
      <c r="M83" s="6">
        <f t="shared" si="6"/>
        <v>379167.3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  <c r="J84" s="6">
        <f t="shared" si="3"/>
        <v>1054</v>
      </c>
      <c r="K84" s="6">
        <f t="shared" si="4"/>
        <v>5320.71</v>
      </c>
      <c r="L84" s="6">
        <f t="shared" si="5"/>
        <v>5608028.34</v>
      </c>
      <c r="M84" s="6">
        <f t="shared" si="6"/>
        <v>2243211.336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  <c r="J85" s="6">
        <f t="shared" si="3"/>
        <v>698</v>
      </c>
      <c r="K85" s="6">
        <f t="shared" si="4"/>
        <v>5353.53</v>
      </c>
      <c r="L85" s="6">
        <f t="shared" si="5"/>
        <v>3736763.94</v>
      </c>
      <c r="M85" s="6">
        <f t="shared" si="6"/>
        <v>1494705.576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  <c r="J86" s="6">
        <f t="shared" si="3"/>
        <v>1083</v>
      </c>
      <c r="K86" s="6">
        <f t="shared" si="4"/>
        <v>5662.73</v>
      </c>
      <c r="L86" s="6">
        <f t="shared" si="5"/>
        <v>6132736.59</v>
      </c>
      <c r="M86" s="6">
        <f t="shared" si="6"/>
        <v>2453094.636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  <c r="J87" s="6">
        <f t="shared" si="3"/>
        <v>244</v>
      </c>
      <c r="K87" s="6">
        <f t="shared" si="4"/>
        <v>21823.67</v>
      </c>
      <c r="L87" s="6">
        <f t="shared" si="5"/>
        <v>5324975.48</v>
      </c>
      <c r="M87" s="6">
        <f t="shared" si="6"/>
        <v>2129990.192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  <c r="J88" s="6">
        <f t="shared" si="3"/>
        <v>236</v>
      </c>
      <c r="K88" s="6">
        <f t="shared" si="4"/>
        <v>21947.29</v>
      </c>
      <c r="L88" s="6">
        <f t="shared" si="5"/>
        <v>5179560.44</v>
      </c>
      <c r="M88" s="6">
        <f t="shared" si="6"/>
        <v>2071824.176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  <c r="J89" s="6">
        <f t="shared" si="3"/>
        <v>335</v>
      </c>
      <c r="K89" s="6">
        <f t="shared" si="4"/>
        <v>6961.76</v>
      </c>
      <c r="L89" s="6">
        <f t="shared" si="5"/>
        <v>2332189.6</v>
      </c>
      <c r="M89" s="6">
        <f t="shared" si="6"/>
        <v>932875.84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  <c r="J90" s="6">
        <f t="shared" si="3"/>
        <v>1056</v>
      </c>
      <c r="K90" s="6">
        <f t="shared" si="4"/>
        <v>1133.58</v>
      </c>
      <c r="L90" s="6">
        <f t="shared" si="5"/>
        <v>1197060.48</v>
      </c>
      <c r="M90" s="6">
        <f t="shared" si="6"/>
        <v>478824.192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  <c r="J91" s="6">
        <f t="shared" si="3"/>
        <v>401</v>
      </c>
      <c r="K91" s="6">
        <f t="shared" si="4"/>
        <v>7108.03</v>
      </c>
      <c r="L91" s="6">
        <f t="shared" si="5"/>
        <v>2850320.03</v>
      </c>
      <c r="M91" s="6">
        <f t="shared" si="6"/>
        <v>1140128.012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  <c r="J92" s="6">
        <f t="shared" si="3"/>
        <v>900.9</v>
      </c>
      <c r="K92" s="6">
        <f t="shared" si="4"/>
        <v>5056.227</v>
      </c>
      <c r="L92" s="6">
        <f t="shared" si="5"/>
        <v>4555154.904</v>
      </c>
      <c r="M92" s="6">
        <f t="shared" si="6"/>
        <v>1518384.968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  <c r="J93" s="6">
        <f t="shared" si="3"/>
        <v>986</v>
      </c>
      <c r="K93" s="6">
        <f t="shared" si="4"/>
        <v>5394.33</v>
      </c>
      <c r="L93" s="6">
        <f t="shared" si="5"/>
        <v>5318809.38</v>
      </c>
      <c r="M93" s="6">
        <f t="shared" si="6"/>
        <v>2127523.752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  <c r="J94" s="6">
        <f t="shared" si="3"/>
        <v>1008</v>
      </c>
      <c r="K94" s="6">
        <f t="shared" si="4"/>
        <v>5231.36</v>
      </c>
      <c r="L94" s="6">
        <f t="shared" si="5"/>
        <v>5273210.88</v>
      </c>
      <c r="M94" s="6">
        <f t="shared" si="6"/>
        <v>2109284.352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  <c r="J95" s="6">
        <f t="shared" si="3"/>
        <v>882.2</v>
      </c>
      <c r="K95" s="6">
        <f t="shared" si="4"/>
        <v>4852.386</v>
      </c>
      <c r="L95" s="6">
        <f t="shared" si="5"/>
        <v>4280774.929</v>
      </c>
      <c r="M95" s="6">
        <f t="shared" si="6"/>
        <v>1426924.976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  <c r="J96" s="6">
        <f t="shared" si="3"/>
        <v>219</v>
      </c>
      <c r="K96" s="6">
        <f t="shared" si="4"/>
        <v>6489.46</v>
      </c>
      <c r="L96" s="6">
        <f t="shared" si="5"/>
        <v>1421191.74</v>
      </c>
      <c r="M96" s="6">
        <f t="shared" si="6"/>
        <v>568476.696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  <c r="J97" s="6">
        <f t="shared" si="3"/>
        <v>343</v>
      </c>
      <c r="K97" s="6">
        <f t="shared" si="4"/>
        <v>6409.87</v>
      </c>
      <c r="L97" s="6">
        <f t="shared" si="5"/>
        <v>2198585.41</v>
      </c>
      <c r="M97" s="6">
        <f t="shared" si="6"/>
        <v>879434.164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  <c r="J98" s="6">
        <f t="shared" si="3"/>
        <v>216</v>
      </c>
      <c r="K98" s="6">
        <f t="shared" si="4"/>
        <v>20828.22</v>
      </c>
      <c r="L98" s="6">
        <f t="shared" si="5"/>
        <v>4498895.52</v>
      </c>
      <c r="M98" s="6">
        <f t="shared" si="6"/>
        <v>1799558.208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  <c r="J99" s="6">
        <f t="shared" si="3"/>
        <v>127</v>
      </c>
      <c r="K99" s="6">
        <f t="shared" si="4"/>
        <v>21020.49</v>
      </c>
      <c r="L99" s="6">
        <f t="shared" si="5"/>
        <v>2669602.23</v>
      </c>
      <c r="M99" s="6">
        <f t="shared" si="6"/>
        <v>1067840.892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  <c r="J100" s="6">
        <f t="shared" si="3"/>
        <v>901</v>
      </c>
      <c r="K100" s="6">
        <f t="shared" si="4"/>
        <v>1372.77</v>
      </c>
      <c r="L100" s="6">
        <f t="shared" si="5"/>
        <v>1236865.77</v>
      </c>
      <c r="M100" s="6">
        <f t="shared" si="6"/>
        <v>494746.308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  <c r="J101" s="6">
        <f t="shared" si="3"/>
        <v>214</v>
      </c>
      <c r="K101" s="6">
        <f t="shared" si="4"/>
        <v>20305.92</v>
      </c>
      <c r="L101" s="6">
        <f t="shared" si="5"/>
        <v>4345466.88</v>
      </c>
      <c r="M101" s="6">
        <f t="shared" si="6"/>
        <v>1738186.752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  <c r="J102" s="6">
        <f t="shared" si="3"/>
        <v>155</v>
      </c>
      <c r="K102" s="6">
        <f t="shared" si="4"/>
        <v>21613.64</v>
      </c>
      <c r="L102" s="6">
        <f t="shared" si="5"/>
        <v>3350114.2</v>
      </c>
      <c r="M102" s="6">
        <f t="shared" si="6"/>
        <v>1340045.68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  <c r="J103" s="6">
        <f t="shared" si="3"/>
        <v>164</v>
      </c>
      <c r="K103" s="6">
        <f t="shared" si="4"/>
        <v>22329.73</v>
      </c>
      <c r="L103" s="6">
        <f t="shared" si="5"/>
        <v>3662075.72</v>
      </c>
      <c r="M103" s="6">
        <f t="shared" si="6"/>
        <v>1464830.288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  <c r="J104" s="6">
        <f t="shared" si="3"/>
        <v>881</v>
      </c>
      <c r="K104" s="6">
        <f t="shared" si="4"/>
        <v>5368.18</v>
      </c>
      <c r="L104" s="6">
        <f t="shared" si="5"/>
        <v>4729366.58</v>
      </c>
      <c r="M104" s="6">
        <f t="shared" si="6"/>
        <v>1891746.632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  <c r="J105" s="6">
        <f t="shared" si="3"/>
        <v>698</v>
      </c>
      <c r="K105" s="6">
        <f t="shared" si="4"/>
        <v>5282.72</v>
      </c>
      <c r="L105" s="6">
        <f t="shared" si="5"/>
        <v>3687338.56</v>
      </c>
      <c r="M105" s="6">
        <f t="shared" si="6"/>
        <v>1474935.424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  <c r="J106" s="6">
        <f t="shared" si="3"/>
        <v>194</v>
      </c>
      <c r="K106" s="6">
        <f t="shared" si="4"/>
        <v>21755.63</v>
      </c>
      <c r="L106" s="6">
        <f t="shared" si="5"/>
        <v>4220592.22</v>
      </c>
      <c r="M106" s="6">
        <f t="shared" si="6"/>
        <v>1688236.888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  <c r="J107" s="6">
        <f t="shared" si="3"/>
        <v>182</v>
      </c>
      <c r="K107" s="6">
        <f t="shared" si="4"/>
        <v>21654.62</v>
      </c>
      <c r="L107" s="6">
        <f t="shared" si="5"/>
        <v>3941140.84</v>
      </c>
      <c r="M107" s="6">
        <f t="shared" si="6"/>
        <v>1576456.336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  <c r="J108" s="6">
        <f t="shared" si="3"/>
        <v>372</v>
      </c>
      <c r="K108" s="6">
        <f t="shared" si="4"/>
        <v>6289.42</v>
      </c>
      <c r="L108" s="6">
        <f t="shared" si="5"/>
        <v>2339664.24</v>
      </c>
      <c r="M108" s="6">
        <f t="shared" si="6"/>
        <v>935865.696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  <c r="J109" s="6">
        <f t="shared" si="3"/>
        <v>271</v>
      </c>
      <c r="K109" s="6">
        <f t="shared" si="4"/>
        <v>6860.65</v>
      </c>
      <c r="L109" s="6">
        <f t="shared" si="5"/>
        <v>1859236.15</v>
      </c>
      <c r="M109" s="6">
        <f t="shared" si="6"/>
        <v>743694.46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  <c r="J110" s="6">
        <f t="shared" si="3"/>
        <v>217</v>
      </c>
      <c r="K110" s="6">
        <f t="shared" si="4"/>
        <v>21085.67</v>
      </c>
      <c r="L110" s="6">
        <f t="shared" si="5"/>
        <v>4575590.39</v>
      </c>
      <c r="M110" s="6">
        <f t="shared" si="6"/>
        <v>1830236.156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  <c r="J111" s="6">
        <f t="shared" si="3"/>
        <v>1000</v>
      </c>
      <c r="K111" s="6">
        <f t="shared" si="4"/>
        <v>5478.57</v>
      </c>
      <c r="L111" s="6">
        <f t="shared" si="5"/>
        <v>5478570</v>
      </c>
      <c r="M111" s="6">
        <f t="shared" si="6"/>
        <v>2191428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  <c r="J112" s="6">
        <f t="shared" si="3"/>
        <v>1177</v>
      </c>
      <c r="K112" s="6">
        <f t="shared" si="4"/>
        <v>5340.62</v>
      </c>
      <c r="L112" s="6">
        <f t="shared" si="5"/>
        <v>6285909.74</v>
      </c>
      <c r="M112" s="6">
        <f t="shared" si="6"/>
        <v>2514363.896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  <c r="J113" s="6">
        <f t="shared" si="3"/>
        <v>448</v>
      </c>
      <c r="K113" s="6">
        <f t="shared" si="4"/>
        <v>6714.87</v>
      </c>
      <c r="L113" s="6">
        <f t="shared" si="5"/>
        <v>3008261.76</v>
      </c>
      <c r="M113" s="6">
        <f t="shared" si="6"/>
        <v>1203304.704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  <c r="J114" s="6">
        <f t="shared" si="3"/>
        <v>205</v>
      </c>
      <c r="K114" s="6">
        <f t="shared" si="4"/>
        <v>20137.29</v>
      </c>
      <c r="L114" s="6">
        <f t="shared" si="5"/>
        <v>4128144.45</v>
      </c>
      <c r="M114" s="6">
        <f t="shared" si="6"/>
        <v>1651257.78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  <c r="J115" s="6">
        <f t="shared" si="3"/>
        <v>1153.9</v>
      </c>
      <c r="K115" s="6">
        <f t="shared" si="4"/>
        <v>4760.001</v>
      </c>
      <c r="L115" s="6">
        <f t="shared" si="5"/>
        <v>5492565.154</v>
      </c>
      <c r="M115" s="6">
        <f t="shared" si="6"/>
        <v>1830855.051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  <c r="J116" s="6">
        <f t="shared" si="3"/>
        <v>382</v>
      </c>
      <c r="K116" s="6">
        <f t="shared" si="4"/>
        <v>6170.76</v>
      </c>
      <c r="L116" s="6">
        <f t="shared" si="5"/>
        <v>2357230.32</v>
      </c>
      <c r="M116" s="6">
        <f t="shared" si="6"/>
        <v>942892.128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  <c r="J117" s="6">
        <f t="shared" si="3"/>
        <v>1095</v>
      </c>
      <c r="K117" s="6">
        <f t="shared" si="4"/>
        <v>1349.99</v>
      </c>
      <c r="L117" s="6">
        <f t="shared" si="5"/>
        <v>1478239.05</v>
      </c>
      <c r="M117" s="6">
        <f t="shared" si="6"/>
        <v>591295.62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  <c r="J118" s="6">
        <f t="shared" si="3"/>
        <v>660</v>
      </c>
      <c r="K118" s="6">
        <f t="shared" si="4"/>
        <v>5193.95</v>
      </c>
      <c r="L118" s="6">
        <f t="shared" si="5"/>
        <v>3428007</v>
      </c>
      <c r="M118" s="6">
        <f t="shared" si="6"/>
        <v>1371202.8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  <c r="J119" s="6">
        <f t="shared" si="3"/>
        <v>915.2</v>
      </c>
      <c r="K119" s="6">
        <f t="shared" si="4"/>
        <v>4627.287</v>
      </c>
      <c r="L119" s="6">
        <f t="shared" si="5"/>
        <v>4234893.062</v>
      </c>
      <c r="M119" s="6">
        <f t="shared" si="6"/>
        <v>1411631.021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  <c r="J120" s="6">
        <f t="shared" si="3"/>
        <v>144</v>
      </c>
      <c r="K120" s="6">
        <f t="shared" si="4"/>
        <v>20999.81</v>
      </c>
      <c r="L120" s="6">
        <f t="shared" si="5"/>
        <v>3023972.64</v>
      </c>
      <c r="M120" s="6">
        <f t="shared" si="6"/>
        <v>1209589.056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  <c r="J121" s="6">
        <f t="shared" si="3"/>
        <v>206</v>
      </c>
      <c r="K121" s="6">
        <f t="shared" si="4"/>
        <v>21281.11</v>
      </c>
      <c r="L121" s="6">
        <f t="shared" si="5"/>
        <v>4383908.66</v>
      </c>
      <c r="M121" s="6">
        <f t="shared" si="6"/>
        <v>1753563.464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  <c r="J122" s="6">
        <f t="shared" si="3"/>
        <v>656</v>
      </c>
      <c r="K122" s="6">
        <f t="shared" si="4"/>
        <v>1218.15</v>
      </c>
      <c r="L122" s="6">
        <f t="shared" si="5"/>
        <v>799106.4</v>
      </c>
      <c r="M122" s="6">
        <f t="shared" si="6"/>
        <v>319642.56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  <c r="J123" s="6">
        <f t="shared" si="3"/>
        <v>127</v>
      </c>
      <c r="K123" s="6">
        <f t="shared" si="4"/>
        <v>20879.81</v>
      </c>
      <c r="L123" s="6">
        <f t="shared" si="5"/>
        <v>2651735.87</v>
      </c>
      <c r="M123" s="6">
        <f t="shared" si="6"/>
        <v>1060694.348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  <c r="J124" s="6">
        <f t="shared" si="3"/>
        <v>1125</v>
      </c>
      <c r="K124" s="6">
        <f t="shared" si="4"/>
        <v>5473.37</v>
      </c>
      <c r="L124" s="6">
        <f t="shared" si="5"/>
        <v>6157541.25</v>
      </c>
      <c r="M124" s="6">
        <f t="shared" si="6"/>
        <v>2463016.5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  <c r="J125" s="6">
        <f t="shared" si="3"/>
        <v>214</v>
      </c>
      <c r="K125" s="6">
        <f t="shared" si="4"/>
        <v>21876.83</v>
      </c>
      <c r="L125" s="6">
        <f t="shared" si="5"/>
        <v>4681641.62</v>
      </c>
      <c r="M125" s="6">
        <f t="shared" si="6"/>
        <v>1872656.648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  <c r="J126" s="6">
        <f t="shared" si="3"/>
        <v>627</v>
      </c>
      <c r="K126" s="6">
        <f t="shared" si="4"/>
        <v>5170.69</v>
      </c>
      <c r="L126" s="6">
        <f t="shared" si="5"/>
        <v>3242022.63</v>
      </c>
      <c r="M126" s="6">
        <f t="shared" si="6"/>
        <v>1296809.052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  <c r="J127" s="6">
        <f t="shared" si="3"/>
        <v>1179</v>
      </c>
      <c r="K127" s="6">
        <f t="shared" si="4"/>
        <v>5083.69</v>
      </c>
      <c r="L127" s="6">
        <f t="shared" si="5"/>
        <v>5993670.51</v>
      </c>
      <c r="M127" s="6">
        <f t="shared" si="6"/>
        <v>2397468.204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  <c r="J128" s="6">
        <f t="shared" si="3"/>
        <v>427</v>
      </c>
      <c r="K128" s="6">
        <f t="shared" si="4"/>
        <v>7412.3</v>
      </c>
      <c r="L128" s="6">
        <f t="shared" si="5"/>
        <v>3165052.1</v>
      </c>
      <c r="M128" s="6">
        <f t="shared" si="6"/>
        <v>1266020.84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  <c r="J129" s="6">
        <f t="shared" si="3"/>
        <v>241</v>
      </c>
      <c r="K129" s="6">
        <f t="shared" si="4"/>
        <v>7004.36</v>
      </c>
      <c r="L129" s="6">
        <f t="shared" si="5"/>
        <v>1688050.76</v>
      </c>
      <c r="M129" s="6">
        <f t="shared" si="6"/>
        <v>675220.304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  <c r="J130" s="6">
        <f t="shared" si="3"/>
        <v>163</v>
      </c>
      <c r="K130" s="6">
        <f t="shared" si="4"/>
        <v>19968.98</v>
      </c>
      <c r="L130" s="6">
        <f t="shared" si="5"/>
        <v>3254943.74</v>
      </c>
      <c r="M130" s="6">
        <f t="shared" si="6"/>
        <v>1301977.496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  <c r="J131" s="6">
        <f t="shared" si="3"/>
        <v>1139.6</v>
      </c>
      <c r="K131" s="6">
        <f t="shared" si="4"/>
        <v>4939.434</v>
      </c>
      <c r="L131" s="6">
        <f t="shared" si="5"/>
        <v>5628978.986</v>
      </c>
      <c r="M131" s="6">
        <f t="shared" si="6"/>
        <v>1876326.329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  <c r="J132" s="6">
        <f t="shared" si="3"/>
        <v>311</v>
      </c>
      <c r="K132" s="6">
        <f t="shared" si="4"/>
        <v>6585.43</v>
      </c>
      <c r="L132" s="6">
        <f t="shared" si="5"/>
        <v>2048068.73</v>
      </c>
      <c r="M132" s="6">
        <f t="shared" si="6"/>
        <v>819227.492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  <c r="J133" s="6">
        <f t="shared" si="3"/>
        <v>842</v>
      </c>
      <c r="K133" s="6">
        <f t="shared" si="4"/>
        <v>5217.31</v>
      </c>
      <c r="L133" s="6">
        <f t="shared" si="5"/>
        <v>4392975.02</v>
      </c>
      <c r="M133" s="6">
        <f t="shared" si="6"/>
        <v>1757190.008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  <c r="J134" s="6">
        <f t="shared" si="3"/>
        <v>622</v>
      </c>
      <c r="K134" s="6">
        <f t="shared" si="4"/>
        <v>1217.4</v>
      </c>
      <c r="L134" s="6">
        <f t="shared" si="5"/>
        <v>757222.8</v>
      </c>
      <c r="M134" s="6">
        <f t="shared" si="6"/>
        <v>302889.12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  <c r="J135" s="6">
        <f t="shared" si="3"/>
        <v>1213.3</v>
      </c>
      <c r="K135" s="6">
        <f t="shared" si="4"/>
        <v>4933.413</v>
      </c>
      <c r="L135" s="6">
        <f t="shared" si="5"/>
        <v>5985709.993</v>
      </c>
      <c r="M135" s="6">
        <f t="shared" si="6"/>
        <v>1995236.664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  <c r="J136" s="6">
        <f t="shared" si="3"/>
        <v>402</v>
      </c>
      <c r="K136" s="6">
        <f t="shared" si="4"/>
        <v>6199.18</v>
      </c>
      <c r="L136" s="6">
        <f t="shared" si="5"/>
        <v>2492070.36</v>
      </c>
      <c r="M136" s="6">
        <f t="shared" si="6"/>
        <v>996828.144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  <c r="J137" s="6">
        <f t="shared" si="3"/>
        <v>167</v>
      </c>
      <c r="K137" s="6">
        <f t="shared" si="4"/>
        <v>21934.69</v>
      </c>
      <c r="L137" s="6">
        <f t="shared" si="5"/>
        <v>3663093.23</v>
      </c>
      <c r="M137" s="6">
        <f t="shared" si="6"/>
        <v>1465237.292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  <c r="J138" s="6">
        <f t="shared" si="3"/>
        <v>739</v>
      </c>
      <c r="K138" s="6">
        <f t="shared" si="4"/>
        <v>5351.94</v>
      </c>
      <c r="L138" s="6">
        <f t="shared" si="5"/>
        <v>3955083.66</v>
      </c>
      <c r="M138" s="6">
        <f t="shared" si="6"/>
        <v>1582033.464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  <c r="J139" s="6">
        <f t="shared" si="3"/>
        <v>458</v>
      </c>
      <c r="K139" s="6">
        <f t="shared" si="4"/>
        <v>6428.71</v>
      </c>
      <c r="L139" s="6">
        <f t="shared" si="5"/>
        <v>2944349.18</v>
      </c>
      <c r="M139" s="6">
        <f t="shared" si="6"/>
        <v>1177739.672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  <c r="J140" s="6">
        <f t="shared" si="3"/>
        <v>104</v>
      </c>
      <c r="K140" s="6">
        <f t="shared" si="4"/>
        <v>22305.03</v>
      </c>
      <c r="L140" s="6">
        <f t="shared" si="5"/>
        <v>2319723.12</v>
      </c>
      <c r="M140" s="6">
        <f t="shared" si="6"/>
        <v>927889.248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  <c r="J141" s="6">
        <f t="shared" si="3"/>
        <v>1263.9</v>
      </c>
      <c r="K141" s="6">
        <f t="shared" si="4"/>
        <v>4666.158</v>
      </c>
      <c r="L141" s="6">
        <f t="shared" si="5"/>
        <v>5897557.096</v>
      </c>
      <c r="M141" s="6">
        <f t="shared" si="6"/>
        <v>1965852.365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  <c r="J142" s="6">
        <f t="shared" si="3"/>
        <v>177</v>
      </c>
      <c r="K142" s="6">
        <f t="shared" si="4"/>
        <v>21093.28</v>
      </c>
      <c r="L142" s="6">
        <f t="shared" si="5"/>
        <v>3733510.56</v>
      </c>
      <c r="M142" s="6">
        <f t="shared" si="6"/>
        <v>1493404.224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  <c r="J143" s="6">
        <f t="shared" si="3"/>
        <v>748</v>
      </c>
      <c r="K143" s="6">
        <f t="shared" si="4"/>
        <v>1075.82</v>
      </c>
      <c r="L143" s="6">
        <f t="shared" si="5"/>
        <v>804713.36</v>
      </c>
      <c r="M143" s="6">
        <f t="shared" si="6"/>
        <v>321885.344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  <c r="J144" s="6">
        <f t="shared" si="3"/>
        <v>159</v>
      </c>
      <c r="K144" s="6">
        <f t="shared" si="4"/>
        <v>21245.22</v>
      </c>
      <c r="L144" s="6">
        <f t="shared" si="5"/>
        <v>3377989.98</v>
      </c>
      <c r="M144" s="6">
        <f t="shared" si="6"/>
        <v>1351195.992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  <c r="J145" s="6">
        <f t="shared" si="3"/>
        <v>641</v>
      </c>
      <c r="K145" s="6">
        <f t="shared" si="4"/>
        <v>5236.19</v>
      </c>
      <c r="L145" s="6">
        <f t="shared" si="5"/>
        <v>3356397.79</v>
      </c>
      <c r="M145" s="6">
        <f t="shared" si="6"/>
        <v>1342559.116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  <c r="J146" s="6">
        <f t="shared" si="3"/>
        <v>303</v>
      </c>
      <c r="K146" s="6">
        <f t="shared" si="4"/>
        <v>6497.08</v>
      </c>
      <c r="L146" s="6">
        <f t="shared" si="5"/>
        <v>1968615.24</v>
      </c>
      <c r="M146" s="6">
        <f t="shared" si="6"/>
        <v>787446.096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  <c r="J147" s="6">
        <f t="shared" si="3"/>
        <v>744</v>
      </c>
      <c r="K147" s="6">
        <f t="shared" si="4"/>
        <v>4853.93</v>
      </c>
      <c r="L147" s="6">
        <f t="shared" si="5"/>
        <v>3611323.92</v>
      </c>
      <c r="M147" s="6">
        <f t="shared" si="6"/>
        <v>1444529.568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  <c r="J148" s="6">
        <f t="shared" si="3"/>
        <v>152</v>
      </c>
      <c r="K148" s="6">
        <f t="shared" si="4"/>
        <v>21688.49</v>
      </c>
      <c r="L148" s="6">
        <f t="shared" si="5"/>
        <v>3296650.48</v>
      </c>
      <c r="M148" s="6">
        <f t="shared" si="6"/>
        <v>1318660.192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  <c r="J149" s="6">
        <f t="shared" si="3"/>
        <v>378</v>
      </c>
      <c r="K149" s="6">
        <f t="shared" si="4"/>
        <v>6931.26</v>
      </c>
      <c r="L149" s="6">
        <f t="shared" si="5"/>
        <v>2620016.28</v>
      </c>
      <c r="M149" s="6">
        <f t="shared" si="6"/>
        <v>1048006.512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  <c r="J150" s="6">
        <f t="shared" si="3"/>
        <v>877</v>
      </c>
      <c r="K150" s="6">
        <f t="shared" si="4"/>
        <v>1218.19</v>
      </c>
      <c r="L150" s="6">
        <f t="shared" si="5"/>
        <v>1068352.63</v>
      </c>
      <c r="M150" s="6">
        <f t="shared" si="6"/>
        <v>427341.052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  <c r="J151" s="6">
        <f t="shared" si="3"/>
        <v>488</v>
      </c>
      <c r="K151" s="6">
        <f t="shared" si="4"/>
        <v>6774.47</v>
      </c>
      <c r="L151" s="6">
        <f t="shared" si="5"/>
        <v>3305941.36</v>
      </c>
      <c r="M151" s="6">
        <f t="shared" si="6"/>
        <v>1322376.544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  <c r="J152" s="6">
        <f t="shared" si="3"/>
        <v>104</v>
      </c>
      <c r="K152" s="6">
        <f t="shared" si="4"/>
        <v>21221.98</v>
      </c>
      <c r="L152" s="6">
        <f t="shared" si="5"/>
        <v>2207085.92</v>
      </c>
      <c r="M152" s="6">
        <f t="shared" si="6"/>
        <v>882834.368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  <c r="J153" s="6">
        <f t="shared" si="3"/>
        <v>1095</v>
      </c>
      <c r="K153" s="6">
        <f t="shared" si="4"/>
        <v>1282.91</v>
      </c>
      <c r="L153" s="6">
        <f t="shared" si="5"/>
        <v>1404786.45</v>
      </c>
      <c r="M153" s="6">
        <f t="shared" si="6"/>
        <v>561914.58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  <c r="J154" s="6">
        <f t="shared" si="3"/>
        <v>646</v>
      </c>
      <c r="K154" s="6">
        <f t="shared" si="4"/>
        <v>5582.85</v>
      </c>
      <c r="L154" s="6">
        <f t="shared" si="5"/>
        <v>3606521.1</v>
      </c>
      <c r="M154" s="6">
        <f t="shared" si="6"/>
        <v>1442608.44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  <c r="J155" s="6">
        <f t="shared" si="3"/>
        <v>691</v>
      </c>
      <c r="K155" s="6">
        <f t="shared" si="4"/>
        <v>1152.64</v>
      </c>
      <c r="L155" s="6">
        <f t="shared" si="5"/>
        <v>796474.24</v>
      </c>
      <c r="M155" s="6">
        <f t="shared" si="6"/>
        <v>318589.696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  <c r="J156" s="6">
        <f t="shared" si="3"/>
        <v>453</v>
      </c>
      <c r="K156" s="6">
        <f t="shared" si="4"/>
        <v>6751.18</v>
      </c>
      <c r="L156" s="6">
        <f t="shared" si="5"/>
        <v>3058284.54</v>
      </c>
      <c r="M156" s="6">
        <f t="shared" si="6"/>
        <v>1223313.816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  <c r="J157" s="6">
        <f t="shared" si="3"/>
        <v>617</v>
      </c>
      <c r="K157" s="6">
        <f t="shared" si="4"/>
        <v>1283.56</v>
      </c>
      <c r="L157" s="6">
        <f t="shared" si="5"/>
        <v>791956.52</v>
      </c>
      <c r="M157" s="6">
        <f t="shared" si="6"/>
        <v>316782.608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  <c r="J158" s="6">
        <f t="shared" si="3"/>
        <v>1164.9</v>
      </c>
      <c r="K158" s="6">
        <f t="shared" si="4"/>
        <v>4986.891</v>
      </c>
      <c r="L158" s="6">
        <f t="shared" si="5"/>
        <v>5809229.326</v>
      </c>
      <c r="M158" s="6">
        <f t="shared" si="6"/>
        <v>1936409.775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  <c r="J159" s="6">
        <f t="shared" si="3"/>
        <v>228</v>
      </c>
      <c r="K159" s="6">
        <f t="shared" si="4"/>
        <v>6901.73</v>
      </c>
      <c r="L159" s="6">
        <f t="shared" si="5"/>
        <v>1573594.44</v>
      </c>
      <c r="M159" s="6">
        <f t="shared" si="6"/>
        <v>629437.776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  <c r="J160" s="6">
        <f t="shared" si="3"/>
        <v>456</v>
      </c>
      <c r="K160" s="6">
        <f t="shared" si="4"/>
        <v>7461.61</v>
      </c>
      <c r="L160" s="6">
        <f t="shared" si="5"/>
        <v>3402494.16</v>
      </c>
      <c r="M160" s="6">
        <f t="shared" si="6"/>
        <v>1360997.664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  <c r="J161" s="6">
        <f t="shared" si="3"/>
        <v>801</v>
      </c>
      <c r="K161" s="6">
        <f t="shared" si="4"/>
        <v>5404.79</v>
      </c>
      <c r="L161" s="6">
        <f t="shared" si="5"/>
        <v>4329236.79</v>
      </c>
      <c r="M161" s="6">
        <f t="shared" si="6"/>
        <v>1731694.716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  <c r="J162" s="6">
        <f t="shared" si="3"/>
        <v>1174</v>
      </c>
      <c r="K162" s="6">
        <f t="shared" si="4"/>
        <v>5510.36</v>
      </c>
      <c r="L162" s="6">
        <f t="shared" si="5"/>
        <v>6469162.64</v>
      </c>
      <c r="M162" s="6">
        <f t="shared" si="6"/>
        <v>2587665.056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  <c r="J163" s="6">
        <f t="shared" si="3"/>
        <v>216</v>
      </c>
      <c r="K163" s="6">
        <f t="shared" si="4"/>
        <v>6625.79</v>
      </c>
      <c r="L163" s="6">
        <f t="shared" si="5"/>
        <v>1431170.64</v>
      </c>
      <c r="M163" s="6">
        <f t="shared" si="6"/>
        <v>572468.256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  <c r="J164" s="6">
        <f t="shared" si="3"/>
        <v>424</v>
      </c>
      <c r="K164" s="6">
        <f t="shared" si="4"/>
        <v>930.31</v>
      </c>
      <c r="L164" s="6">
        <f t="shared" si="5"/>
        <v>394451.44</v>
      </c>
      <c r="M164" s="6">
        <f t="shared" si="6"/>
        <v>157780.576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  <c r="J165" s="6">
        <f t="shared" si="3"/>
        <v>213</v>
      </c>
      <c r="K165" s="6">
        <f t="shared" si="4"/>
        <v>21456.56</v>
      </c>
      <c r="L165" s="6">
        <f t="shared" si="5"/>
        <v>4570247.28</v>
      </c>
      <c r="M165" s="6">
        <f t="shared" si="6"/>
        <v>1828098.912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  <c r="J166" s="6">
        <f t="shared" si="3"/>
        <v>760</v>
      </c>
      <c r="K166" s="6">
        <f t="shared" si="4"/>
        <v>1173.11</v>
      </c>
      <c r="L166" s="6">
        <f t="shared" si="5"/>
        <v>891563.6</v>
      </c>
      <c r="M166" s="6">
        <f t="shared" si="6"/>
        <v>356625.44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  <c r="J167" s="6">
        <f t="shared" si="3"/>
        <v>456</v>
      </c>
      <c r="K167" s="6">
        <f t="shared" si="4"/>
        <v>6368.04</v>
      </c>
      <c r="L167" s="6">
        <f t="shared" si="5"/>
        <v>2903826.24</v>
      </c>
      <c r="M167" s="6">
        <f t="shared" si="6"/>
        <v>1161530.496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  <c r="J168" s="6">
        <f t="shared" si="3"/>
        <v>410</v>
      </c>
      <c r="K168" s="6">
        <f t="shared" si="4"/>
        <v>6565.59</v>
      </c>
      <c r="L168" s="6">
        <f t="shared" si="5"/>
        <v>2691891.9</v>
      </c>
      <c r="M168" s="6">
        <f t="shared" si="6"/>
        <v>1076756.76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  <c r="J169" s="6">
        <f t="shared" si="3"/>
        <v>100</v>
      </c>
      <c r="K169" s="6">
        <f t="shared" si="4"/>
        <v>19800.72</v>
      </c>
      <c r="L169" s="6">
        <f t="shared" si="5"/>
        <v>1980072</v>
      </c>
      <c r="M169" s="6">
        <f t="shared" si="6"/>
        <v>792028.8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  <c r="J170" s="6">
        <f t="shared" si="3"/>
        <v>212</v>
      </c>
      <c r="K170" s="6">
        <f t="shared" si="4"/>
        <v>22496.87</v>
      </c>
      <c r="L170" s="6">
        <f t="shared" si="5"/>
        <v>4769336.44</v>
      </c>
      <c r="M170" s="6">
        <f t="shared" si="6"/>
        <v>1907734.576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  <c r="J171" s="6">
        <f t="shared" si="3"/>
        <v>654</v>
      </c>
      <c r="K171" s="6">
        <f t="shared" si="4"/>
        <v>4885.32</v>
      </c>
      <c r="L171" s="6">
        <f t="shared" si="5"/>
        <v>3194999.28</v>
      </c>
      <c r="M171" s="6">
        <f t="shared" si="6"/>
        <v>1277999.712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  <c r="J172" s="6">
        <f t="shared" si="3"/>
        <v>361</v>
      </c>
      <c r="K172" s="6">
        <f t="shared" si="4"/>
        <v>6591.43</v>
      </c>
      <c r="L172" s="6">
        <f t="shared" si="5"/>
        <v>2379506.23</v>
      </c>
      <c r="M172" s="6">
        <f t="shared" si="6"/>
        <v>951802.492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  <c r="J173" s="6">
        <f t="shared" si="3"/>
        <v>607</v>
      </c>
      <c r="K173" s="6">
        <f t="shared" si="4"/>
        <v>5286.08</v>
      </c>
      <c r="L173" s="6">
        <f t="shared" si="5"/>
        <v>3208650.56</v>
      </c>
      <c r="M173" s="6">
        <f t="shared" si="6"/>
        <v>1283460.224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  <c r="J174" s="6">
        <f t="shared" si="3"/>
        <v>842</v>
      </c>
      <c r="K174" s="6">
        <f t="shared" si="4"/>
        <v>1457.14</v>
      </c>
      <c r="L174" s="6">
        <f t="shared" si="5"/>
        <v>1226911.88</v>
      </c>
      <c r="M174" s="6">
        <f t="shared" si="6"/>
        <v>490764.752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  <c r="J175" s="6">
        <f t="shared" si="3"/>
        <v>296</v>
      </c>
      <c r="K175" s="6">
        <f t="shared" si="4"/>
        <v>6744.7</v>
      </c>
      <c r="L175" s="6">
        <f t="shared" si="5"/>
        <v>1996431.2</v>
      </c>
      <c r="M175" s="6">
        <f t="shared" si="6"/>
        <v>798572.48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  <c r="J176" s="6">
        <f t="shared" si="3"/>
        <v>295</v>
      </c>
      <c r="K176" s="6">
        <f t="shared" si="4"/>
        <v>6703.9</v>
      </c>
      <c r="L176" s="6">
        <f t="shared" si="5"/>
        <v>1977650.5</v>
      </c>
      <c r="M176" s="6">
        <f t="shared" si="6"/>
        <v>791060.2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  <c r="J177" s="6">
        <f t="shared" si="3"/>
        <v>781</v>
      </c>
      <c r="K177" s="6">
        <f t="shared" si="4"/>
        <v>5312.31</v>
      </c>
      <c r="L177" s="6">
        <f t="shared" si="5"/>
        <v>4148914.11</v>
      </c>
      <c r="M177" s="6">
        <f t="shared" si="6"/>
        <v>1659565.644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  <c r="J178" s="6">
        <f t="shared" si="3"/>
        <v>462</v>
      </c>
      <c r="K178" s="6">
        <f t="shared" si="4"/>
        <v>6906.65</v>
      </c>
      <c r="L178" s="6">
        <f t="shared" si="5"/>
        <v>3190872.3</v>
      </c>
      <c r="M178" s="6">
        <f t="shared" si="6"/>
        <v>1276348.92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  <c r="J179" s="6">
        <f t="shared" si="3"/>
        <v>681</v>
      </c>
      <c r="K179" s="6">
        <f t="shared" si="4"/>
        <v>5393.36</v>
      </c>
      <c r="L179" s="6">
        <f t="shared" si="5"/>
        <v>3672878.16</v>
      </c>
      <c r="M179" s="6">
        <f t="shared" si="6"/>
        <v>1469151.264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  <c r="J180" s="6">
        <f t="shared" si="3"/>
        <v>433</v>
      </c>
      <c r="K180" s="6">
        <f t="shared" si="4"/>
        <v>6562.45</v>
      </c>
      <c r="L180" s="6">
        <f t="shared" si="5"/>
        <v>2841540.85</v>
      </c>
      <c r="M180" s="6">
        <f t="shared" si="6"/>
        <v>1136616.34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  <c r="J181" s="6">
        <f t="shared" si="3"/>
        <v>855</v>
      </c>
      <c r="K181" s="6">
        <f t="shared" si="4"/>
        <v>5517.71</v>
      </c>
      <c r="L181" s="6">
        <f t="shared" si="5"/>
        <v>4717642.05</v>
      </c>
      <c r="M181" s="6">
        <f t="shared" si="6"/>
        <v>1887056.82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  <c r="J182" s="6">
        <f t="shared" si="3"/>
        <v>899</v>
      </c>
      <c r="K182" s="6">
        <f t="shared" si="4"/>
        <v>1216.64</v>
      </c>
      <c r="L182" s="6">
        <f t="shared" si="5"/>
        <v>1093759.36</v>
      </c>
      <c r="M182" s="6">
        <f t="shared" si="6"/>
        <v>437503.744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  <c r="J183" s="6">
        <f t="shared" si="3"/>
        <v>214</v>
      </c>
      <c r="K183" s="6">
        <f t="shared" si="4"/>
        <v>20719.22</v>
      </c>
      <c r="L183" s="6">
        <f t="shared" si="5"/>
        <v>4433913.08</v>
      </c>
      <c r="M183" s="6">
        <f t="shared" si="6"/>
        <v>1773565.232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  <c r="J184" s="6">
        <f t="shared" si="3"/>
        <v>124</v>
      </c>
      <c r="K184" s="6">
        <f t="shared" si="4"/>
        <v>21001.72</v>
      </c>
      <c r="L184" s="6">
        <f t="shared" si="5"/>
        <v>2604213.28</v>
      </c>
      <c r="M184" s="6">
        <f t="shared" si="6"/>
        <v>1041685.312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  <c r="J185" s="6">
        <f t="shared" si="3"/>
        <v>128</v>
      </c>
      <c r="K185" s="6">
        <f t="shared" si="4"/>
        <v>21165.49</v>
      </c>
      <c r="L185" s="6">
        <f t="shared" si="5"/>
        <v>2709182.72</v>
      </c>
      <c r="M185" s="6">
        <f t="shared" si="6"/>
        <v>1083673.088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  <c r="J186" s="6">
        <f t="shared" si="3"/>
        <v>345</v>
      </c>
      <c r="K186" s="6">
        <f t="shared" si="4"/>
        <v>7104.02</v>
      </c>
      <c r="L186" s="6">
        <f t="shared" si="5"/>
        <v>2450886.9</v>
      </c>
      <c r="M186" s="6">
        <f t="shared" si="6"/>
        <v>980354.76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  <c r="J187" s="6">
        <f t="shared" si="3"/>
        <v>752</v>
      </c>
      <c r="K187" s="6">
        <f t="shared" si="4"/>
        <v>5325.36</v>
      </c>
      <c r="L187" s="6">
        <f t="shared" si="5"/>
        <v>4004670.72</v>
      </c>
      <c r="M187" s="6">
        <f t="shared" si="6"/>
        <v>1601868.288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  <c r="J188" s="6">
        <f t="shared" si="3"/>
        <v>185</v>
      </c>
      <c r="K188" s="6">
        <f t="shared" si="4"/>
        <v>21704.82</v>
      </c>
      <c r="L188" s="6">
        <f t="shared" si="5"/>
        <v>4015391.7</v>
      </c>
      <c r="M188" s="6">
        <f t="shared" si="6"/>
        <v>1606156.68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  <c r="J189" s="6">
        <f t="shared" si="3"/>
        <v>372</v>
      </c>
      <c r="K189" s="6">
        <f t="shared" si="4"/>
        <v>6994.81</v>
      </c>
      <c r="L189" s="6">
        <f t="shared" si="5"/>
        <v>2602069.32</v>
      </c>
      <c r="M189" s="6">
        <f t="shared" si="6"/>
        <v>1040827.728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  <c r="J190" s="6">
        <f t="shared" si="3"/>
        <v>221</v>
      </c>
      <c r="K190" s="6">
        <f t="shared" si="4"/>
        <v>20016.17</v>
      </c>
      <c r="L190" s="6">
        <f t="shared" si="5"/>
        <v>4423573.57</v>
      </c>
      <c r="M190" s="6">
        <f t="shared" si="6"/>
        <v>1769429.428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  <c r="J191" s="6">
        <f t="shared" si="3"/>
        <v>980.1</v>
      </c>
      <c r="K191" s="6">
        <f t="shared" si="4"/>
        <v>4591.872</v>
      </c>
      <c r="L191" s="6">
        <f t="shared" si="5"/>
        <v>4500493.747</v>
      </c>
      <c r="M191" s="6">
        <f t="shared" si="6"/>
        <v>1500164.582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  <c r="J192" s="6">
        <f t="shared" si="3"/>
        <v>410</v>
      </c>
      <c r="K192" s="6">
        <f t="shared" si="4"/>
        <v>1334.13</v>
      </c>
      <c r="L192" s="6">
        <f t="shared" si="5"/>
        <v>546993.3</v>
      </c>
      <c r="M192" s="6">
        <f t="shared" si="6"/>
        <v>218797.32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  <c r="J193" s="6">
        <f t="shared" si="3"/>
        <v>154</v>
      </c>
      <c r="K193" s="6">
        <f t="shared" si="4"/>
        <v>20792.98</v>
      </c>
      <c r="L193" s="6">
        <f t="shared" si="5"/>
        <v>3202118.92</v>
      </c>
      <c r="M193" s="6">
        <f t="shared" si="6"/>
        <v>1280847.568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  <c r="J194" s="6">
        <f t="shared" si="3"/>
        <v>1002.1</v>
      </c>
      <c r="K194" s="6">
        <f t="shared" si="4"/>
        <v>4879.359</v>
      </c>
      <c r="L194" s="6">
        <f t="shared" si="5"/>
        <v>4889605.654</v>
      </c>
      <c r="M194" s="6">
        <f t="shared" si="6"/>
        <v>1629868.551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  <c r="J195" s="6">
        <f t="shared" si="3"/>
        <v>172</v>
      </c>
      <c r="K195" s="6">
        <f t="shared" si="4"/>
        <v>20284.66</v>
      </c>
      <c r="L195" s="6">
        <f t="shared" si="5"/>
        <v>3488961.52</v>
      </c>
      <c r="M195" s="6">
        <f t="shared" si="6"/>
        <v>1395584.608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  <c r="J196" s="6">
        <f t="shared" si="3"/>
        <v>660</v>
      </c>
      <c r="K196" s="6">
        <f t="shared" si="4"/>
        <v>5174.61</v>
      </c>
      <c r="L196" s="6">
        <f t="shared" si="5"/>
        <v>3415242.6</v>
      </c>
      <c r="M196" s="6">
        <f t="shared" si="6"/>
        <v>1366097.04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  <c r="J197" s="6">
        <f t="shared" si="3"/>
        <v>707</v>
      </c>
      <c r="K197" s="6">
        <f t="shared" si="4"/>
        <v>5662.49</v>
      </c>
      <c r="L197" s="6">
        <f t="shared" si="5"/>
        <v>4003380.43</v>
      </c>
      <c r="M197" s="6">
        <f t="shared" si="6"/>
        <v>1601352.172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  <c r="J198" s="6">
        <f t="shared" si="3"/>
        <v>674</v>
      </c>
      <c r="K198" s="6">
        <f t="shared" si="4"/>
        <v>1298.57</v>
      </c>
      <c r="L198" s="6">
        <f t="shared" si="5"/>
        <v>875236.18</v>
      </c>
      <c r="M198" s="6">
        <f t="shared" si="6"/>
        <v>350094.472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  <c r="J199" s="6">
        <f t="shared" si="3"/>
        <v>1096</v>
      </c>
      <c r="K199" s="6">
        <f t="shared" si="4"/>
        <v>5181.11</v>
      </c>
      <c r="L199" s="6">
        <f t="shared" si="5"/>
        <v>5678496.56</v>
      </c>
      <c r="M199" s="6">
        <f t="shared" si="6"/>
        <v>2271398.624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  <c r="J200" s="6">
        <f t="shared" si="3"/>
        <v>1060</v>
      </c>
      <c r="K200" s="6">
        <f t="shared" si="4"/>
        <v>1280.48</v>
      </c>
      <c r="L200" s="6">
        <f t="shared" si="5"/>
        <v>1357308.8</v>
      </c>
      <c r="M200" s="6">
        <f t="shared" si="6"/>
        <v>542923.52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  <c r="J201" s="6">
        <f t="shared" si="3"/>
        <v>188</v>
      </c>
      <c r="K201" s="6">
        <f t="shared" si="4"/>
        <v>22244.2</v>
      </c>
      <c r="L201" s="6">
        <f t="shared" si="5"/>
        <v>4181909.6</v>
      </c>
      <c r="M201" s="6">
        <f t="shared" si="6"/>
        <v>1672763.84</v>
      </c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7.0"/>
    <col customWidth="1" min="3" max="3" width="16.71"/>
    <col customWidth="1" min="4" max="4" width="10.57"/>
    <col customWidth="1" min="5" max="5" width="10.29"/>
    <col customWidth="1" min="6" max="6" width="10.86"/>
    <col customWidth="1" min="7" max="7" width="15.71"/>
    <col customWidth="1" min="8" max="8" width="21.86"/>
    <col customWidth="1" min="9" max="9" width="19.43"/>
    <col customWidth="1" min="10" max="10" width="14.71"/>
    <col customWidth="1" min="11" max="11" width="15.29"/>
    <col customWidth="1" min="12" max="12" width="15.86"/>
    <col customWidth="1" min="13" max="13" width="24.43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33</v>
      </c>
      <c r="I1" s="4" t="s">
        <v>34</v>
      </c>
      <c r="J1" s="4" t="s">
        <v>99</v>
      </c>
      <c r="K1" s="4" t="s">
        <v>100</v>
      </c>
      <c r="L1" s="4" t="s">
        <v>101</v>
      </c>
      <c r="M1" s="4" t="s">
        <v>102</v>
      </c>
    </row>
    <row r="2">
      <c r="A2" s="2" t="s">
        <v>7</v>
      </c>
      <c r="B2" s="5" t="s">
        <v>8</v>
      </c>
      <c r="C2" s="2" t="s">
        <v>9</v>
      </c>
      <c r="D2" s="2">
        <v>870.0</v>
      </c>
      <c r="E2" s="2">
        <v>5429.54</v>
      </c>
      <c r="F2" s="2">
        <v>4723698.0</v>
      </c>
      <c r="G2" s="2">
        <v>642.0</v>
      </c>
      <c r="H2" s="6">
        <f t="shared" ref="H2:H201" si="1">$E2*0.6</f>
        <v>3257.724</v>
      </c>
      <c r="I2" s="6">
        <f t="shared" ref="I2:I201" si="2">($E2-$H2)*$D2</f>
        <v>1889479.92</v>
      </c>
      <c r="J2" s="6">
        <f t="shared" ref="J2:J201" si="3">IF(AND(C2="Smartphones", OR(B2="Mar", B2="Jun", B2="Sep")), D2*1, D2)</f>
        <v>870</v>
      </c>
      <c r="K2" s="6">
        <f t="shared" ref="K2:K201" si="4">IF(AND(C2="Smartphones", OR(B2="Mar", B2="Jun", B2="Sep")), E2*0.9, E2)</f>
        <v>5429.54</v>
      </c>
      <c r="L2" s="6">
        <f t="shared" ref="L2:L201" si="5">$K2*$J2</f>
        <v>4723699.8</v>
      </c>
      <c r="M2" s="6">
        <f t="shared" ref="M2:M201" si="6">(K2-H2)*J2</f>
        <v>1889479.92</v>
      </c>
    </row>
    <row r="3">
      <c r="A3" s="2" t="s">
        <v>10</v>
      </c>
      <c r="B3" s="5" t="s">
        <v>11</v>
      </c>
      <c r="C3" s="2" t="s">
        <v>12</v>
      </c>
      <c r="D3" s="2">
        <v>287.0</v>
      </c>
      <c r="E3" s="2">
        <v>7156.91</v>
      </c>
      <c r="F3" s="2">
        <v>2054033.0</v>
      </c>
      <c r="G3" s="2">
        <v>224.0</v>
      </c>
      <c r="H3" s="6">
        <f t="shared" si="1"/>
        <v>4294.146</v>
      </c>
      <c r="I3" s="6">
        <f t="shared" si="2"/>
        <v>821613.268</v>
      </c>
      <c r="J3" s="6">
        <f t="shared" si="3"/>
        <v>287</v>
      </c>
      <c r="K3" s="6">
        <f t="shared" si="4"/>
        <v>7156.91</v>
      </c>
      <c r="L3" s="6">
        <f t="shared" si="5"/>
        <v>2054033.17</v>
      </c>
      <c r="M3" s="6">
        <f t="shared" si="6"/>
        <v>821613.268</v>
      </c>
    </row>
    <row r="4">
      <c r="A4" s="2" t="s">
        <v>13</v>
      </c>
      <c r="B4" s="5" t="s">
        <v>14</v>
      </c>
      <c r="C4" s="2" t="s">
        <v>12</v>
      </c>
      <c r="D4" s="2">
        <v>349.0</v>
      </c>
      <c r="E4" s="2">
        <v>6723.95</v>
      </c>
      <c r="F4" s="2">
        <v>2346658.0</v>
      </c>
      <c r="G4" s="2">
        <v>326.0</v>
      </c>
      <c r="H4" s="6">
        <f t="shared" si="1"/>
        <v>4034.37</v>
      </c>
      <c r="I4" s="6">
        <f t="shared" si="2"/>
        <v>938663.42</v>
      </c>
      <c r="J4" s="6">
        <f t="shared" si="3"/>
        <v>349</v>
      </c>
      <c r="K4" s="6">
        <f t="shared" si="4"/>
        <v>6723.95</v>
      </c>
      <c r="L4" s="6">
        <f t="shared" si="5"/>
        <v>2346658.55</v>
      </c>
      <c r="M4" s="6">
        <f t="shared" si="6"/>
        <v>938663.42</v>
      </c>
    </row>
    <row r="5">
      <c r="A5" s="2" t="s">
        <v>15</v>
      </c>
      <c r="B5" s="5" t="s">
        <v>16</v>
      </c>
      <c r="C5" s="2" t="s">
        <v>9</v>
      </c>
      <c r="D5" s="2">
        <v>760.0</v>
      </c>
      <c r="E5" s="2">
        <v>5268.1</v>
      </c>
      <c r="F5" s="2">
        <v>4003753.0</v>
      </c>
      <c r="G5" s="2">
        <v>589.0</v>
      </c>
      <c r="H5" s="6">
        <f t="shared" si="1"/>
        <v>3160.86</v>
      </c>
      <c r="I5" s="6">
        <f t="shared" si="2"/>
        <v>1601502.4</v>
      </c>
      <c r="J5" s="6">
        <f t="shared" si="3"/>
        <v>760</v>
      </c>
      <c r="K5" s="6">
        <f t="shared" si="4"/>
        <v>5268.1</v>
      </c>
      <c r="L5" s="6">
        <f t="shared" si="5"/>
        <v>4003756</v>
      </c>
      <c r="M5" s="6">
        <f t="shared" si="6"/>
        <v>1601502.4</v>
      </c>
    </row>
    <row r="6">
      <c r="A6" s="2" t="s">
        <v>17</v>
      </c>
      <c r="B6" s="5" t="s">
        <v>16</v>
      </c>
      <c r="C6" s="2" t="s">
        <v>9</v>
      </c>
      <c r="D6" s="2">
        <v>1160.0</v>
      </c>
      <c r="E6" s="2">
        <v>4812.18</v>
      </c>
      <c r="F6" s="2">
        <v>5582127.0</v>
      </c>
      <c r="G6" s="2">
        <v>825.0</v>
      </c>
      <c r="H6" s="6">
        <f t="shared" si="1"/>
        <v>2887.308</v>
      </c>
      <c r="I6" s="6">
        <f t="shared" si="2"/>
        <v>2232851.52</v>
      </c>
      <c r="J6" s="6">
        <f t="shared" si="3"/>
        <v>1160</v>
      </c>
      <c r="K6" s="6">
        <f t="shared" si="4"/>
        <v>4812.18</v>
      </c>
      <c r="L6" s="6">
        <f t="shared" si="5"/>
        <v>5582128.8</v>
      </c>
      <c r="M6" s="6">
        <f t="shared" si="6"/>
        <v>2232851.52</v>
      </c>
    </row>
    <row r="7">
      <c r="A7" s="2" t="s">
        <v>10</v>
      </c>
      <c r="B7" s="5" t="s">
        <v>16</v>
      </c>
      <c r="C7" s="2" t="s">
        <v>12</v>
      </c>
      <c r="D7" s="2">
        <v>443.0</v>
      </c>
      <c r="E7" s="2">
        <v>6881.03</v>
      </c>
      <c r="F7" s="2">
        <v>3048297.0</v>
      </c>
      <c r="G7" s="2">
        <v>375.0</v>
      </c>
      <c r="H7" s="6">
        <f t="shared" si="1"/>
        <v>4128.618</v>
      </c>
      <c r="I7" s="6">
        <f t="shared" si="2"/>
        <v>1219318.516</v>
      </c>
      <c r="J7" s="6">
        <f t="shared" si="3"/>
        <v>443</v>
      </c>
      <c r="K7" s="6">
        <f t="shared" si="4"/>
        <v>6881.03</v>
      </c>
      <c r="L7" s="6">
        <f t="shared" si="5"/>
        <v>3048296.29</v>
      </c>
      <c r="M7" s="6">
        <f t="shared" si="6"/>
        <v>1219318.516</v>
      </c>
    </row>
    <row r="8">
      <c r="A8" s="2" t="s">
        <v>10</v>
      </c>
      <c r="B8" s="5" t="s">
        <v>18</v>
      </c>
      <c r="C8" s="2" t="s">
        <v>12</v>
      </c>
      <c r="D8" s="2">
        <v>334.0</v>
      </c>
      <c r="E8" s="2">
        <v>6519.92</v>
      </c>
      <c r="F8" s="2">
        <v>2177655.0</v>
      </c>
      <c r="G8" s="2">
        <v>241.0</v>
      </c>
      <c r="H8" s="6">
        <f t="shared" si="1"/>
        <v>3911.952</v>
      </c>
      <c r="I8" s="6">
        <f t="shared" si="2"/>
        <v>871061.312</v>
      </c>
      <c r="J8" s="6">
        <f t="shared" si="3"/>
        <v>334</v>
      </c>
      <c r="K8" s="6">
        <f t="shared" si="4"/>
        <v>6519.92</v>
      </c>
      <c r="L8" s="6">
        <f t="shared" si="5"/>
        <v>2177653.28</v>
      </c>
      <c r="M8" s="6">
        <f t="shared" si="6"/>
        <v>871061.312</v>
      </c>
    </row>
    <row r="9">
      <c r="A9" s="2" t="s">
        <v>19</v>
      </c>
      <c r="B9" s="5" t="s">
        <v>16</v>
      </c>
      <c r="C9" s="2" t="s">
        <v>12</v>
      </c>
      <c r="D9" s="2">
        <v>463.0</v>
      </c>
      <c r="E9" s="2">
        <v>6984.23</v>
      </c>
      <c r="F9" s="2">
        <v>3233699.0</v>
      </c>
      <c r="G9" s="2">
        <v>328.0</v>
      </c>
      <c r="H9" s="6">
        <f t="shared" si="1"/>
        <v>4190.538</v>
      </c>
      <c r="I9" s="6">
        <f t="shared" si="2"/>
        <v>1293479.396</v>
      </c>
      <c r="J9" s="6">
        <f t="shared" si="3"/>
        <v>463</v>
      </c>
      <c r="K9" s="6">
        <f t="shared" si="4"/>
        <v>6984.23</v>
      </c>
      <c r="L9" s="6">
        <f t="shared" si="5"/>
        <v>3233698.49</v>
      </c>
      <c r="M9" s="6">
        <f t="shared" si="6"/>
        <v>1293479.396</v>
      </c>
    </row>
    <row r="10">
      <c r="A10" s="2" t="s">
        <v>20</v>
      </c>
      <c r="B10" s="5" t="s">
        <v>8</v>
      </c>
      <c r="C10" s="2" t="s">
        <v>21</v>
      </c>
      <c r="D10" s="2">
        <v>203.0</v>
      </c>
      <c r="E10" s="2">
        <v>21142.61</v>
      </c>
      <c r="F10" s="2">
        <v>4291949.0</v>
      </c>
      <c r="G10" s="2">
        <v>152.0</v>
      </c>
      <c r="H10" s="6">
        <f t="shared" si="1"/>
        <v>12685.566</v>
      </c>
      <c r="I10" s="6">
        <f t="shared" si="2"/>
        <v>1716779.932</v>
      </c>
      <c r="J10" s="6">
        <f t="shared" si="3"/>
        <v>203</v>
      </c>
      <c r="K10" s="6">
        <f t="shared" si="4"/>
        <v>21142.61</v>
      </c>
      <c r="L10" s="6">
        <f t="shared" si="5"/>
        <v>4291949.83</v>
      </c>
      <c r="M10" s="6">
        <f t="shared" si="6"/>
        <v>1716779.932</v>
      </c>
    </row>
    <row r="11">
      <c r="A11" s="2" t="s">
        <v>19</v>
      </c>
      <c r="B11" s="5" t="s">
        <v>22</v>
      </c>
      <c r="C11" s="2" t="s">
        <v>9</v>
      </c>
      <c r="D11" s="2">
        <v>1001.0</v>
      </c>
      <c r="E11" s="2">
        <v>5604.85</v>
      </c>
      <c r="F11" s="2">
        <v>5610453.0</v>
      </c>
      <c r="G11" s="2">
        <v>894.0</v>
      </c>
      <c r="H11" s="6">
        <f t="shared" si="1"/>
        <v>3362.91</v>
      </c>
      <c r="I11" s="6">
        <f t="shared" si="2"/>
        <v>2244181.94</v>
      </c>
      <c r="J11" s="6">
        <f t="shared" si="3"/>
        <v>1001</v>
      </c>
      <c r="K11" s="6">
        <f t="shared" si="4"/>
        <v>5044.365</v>
      </c>
      <c r="L11" s="6">
        <f t="shared" si="5"/>
        <v>5049409.365</v>
      </c>
      <c r="M11" s="6">
        <f t="shared" si="6"/>
        <v>1683136.455</v>
      </c>
    </row>
    <row r="12">
      <c r="A12" s="2" t="s">
        <v>15</v>
      </c>
      <c r="B12" s="5" t="s">
        <v>23</v>
      </c>
      <c r="C12" s="2" t="s">
        <v>21</v>
      </c>
      <c r="D12" s="2">
        <v>113.0</v>
      </c>
      <c r="E12" s="2">
        <v>20774.25</v>
      </c>
      <c r="F12" s="2">
        <v>2347490.0</v>
      </c>
      <c r="G12" s="2">
        <v>95.0</v>
      </c>
      <c r="H12" s="6">
        <f t="shared" si="1"/>
        <v>12464.55</v>
      </c>
      <c r="I12" s="6">
        <f t="shared" si="2"/>
        <v>938996.1</v>
      </c>
      <c r="J12" s="6">
        <f t="shared" si="3"/>
        <v>113</v>
      </c>
      <c r="K12" s="6">
        <f t="shared" si="4"/>
        <v>20774.25</v>
      </c>
      <c r="L12" s="6">
        <f t="shared" si="5"/>
        <v>2347490.25</v>
      </c>
      <c r="M12" s="6">
        <f t="shared" si="6"/>
        <v>938996.1</v>
      </c>
    </row>
    <row r="13">
      <c r="A13" s="2" t="s">
        <v>24</v>
      </c>
      <c r="B13" s="5" t="s">
        <v>14</v>
      </c>
      <c r="C13" s="2" t="s">
        <v>9</v>
      </c>
      <c r="D13" s="2">
        <v>937.0</v>
      </c>
      <c r="E13" s="2">
        <v>5537.73</v>
      </c>
      <c r="F13" s="2">
        <v>5188848.0</v>
      </c>
      <c r="G13" s="2">
        <v>782.0</v>
      </c>
      <c r="H13" s="6">
        <f t="shared" si="1"/>
        <v>3322.638</v>
      </c>
      <c r="I13" s="6">
        <f t="shared" si="2"/>
        <v>2075541.204</v>
      </c>
      <c r="J13" s="6">
        <f t="shared" si="3"/>
        <v>937</v>
      </c>
      <c r="K13" s="6">
        <f t="shared" si="4"/>
        <v>5537.73</v>
      </c>
      <c r="L13" s="6">
        <f t="shared" si="5"/>
        <v>5188853.01</v>
      </c>
      <c r="M13" s="6">
        <f t="shared" si="6"/>
        <v>2075541.204</v>
      </c>
    </row>
    <row r="14">
      <c r="A14" s="2" t="s">
        <v>13</v>
      </c>
      <c r="B14" s="5" t="s">
        <v>23</v>
      </c>
      <c r="C14" s="2" t="s">
        <v>9</v>
      </c>
      <c r="D14" s="2">
        <v>787.0</v>
      </c>
      <c r="E14" s="2">
        <v>5073.89</v>
      </c>
      <c r="F14" s="2">
        <v>3993151.0</v>
      </c>
      <c r="G14" s="2">
        <v>708.0</v>
      </c>
      <c r="H14" s="6">
        <f t="shared" si="1"/>
        <v>3044.334</v>
      </c>
      <c r="I14" s="6">
        <f t="shared" si="2"/>
        <v>1597260.572</v>
      </c>
      <c r="J14" s="6">
        <f t="shared" si="3"/>
        <v>787</v>
      </c>
      <c r="K14" s="6">
        <f t="shared" si="4"/>
        <v>5073.89</v>
      </c>
      <c r="L14" s="6">
        <f t="shared" si="5"/>
        <v>3993151.43</v>
      </c>
      <c r="M14" s="6">
        <f t="shared" si="6"/>
        <v>1597260.572</v>
      </c>
    </row>
    <row r="15">
      <c r="A15" s="2" t="s">
        <v>20</v>
      </c>
      <c r="B15" s="5" t="s">
        <v>25</v>
      </c>
      <c r="C15" s="2" t="s">
        <v>12</v>
      </c>
      <c r="D15" s="2">
        <v>208.0</v>
      </c>
      <c r="E15" s="2">
        <v>6740.33</v>
      </c>
      <c r="F15" s="2">
        <v>1401988.0</v>
      </c>
      <c r="G15" s="2">
        <v>185.0</v>
      </c>
      <c r="H15" s="6">
        <f t="shared" si="1"/>
        <v>4044.198</v>
      </c>
      <c r="I15" s="6">
        <f t="shared" si="2"/>
        <v>560795.456</v>
      </c>
      <c r="J15" s="6">
        <f t="shared" si="3"/>
        <v>208</v>
      </c>
      <c r="K15" s="6">
        <f t="shared" si="4"/>
        <v>6740.33</v>
      </c>
      <c r="L15" s="6">
        <f t="shared" si="5"/>
        <v>1401988.64</v>
      </c>
      <c r="M15" s="6">
        <f t="shared" si="6"/>
        <v>560795.456</v>
      </c>
    </row>
    <row r="16">
      <c r="A16" s="2" t="s">
        <v>13</v>
      </c>
      <c r="B16" s="5" t="s">
        <v>14</v>
      </c>
      <c r="C16" s="2" t="s">
        <v>12</v>
      </c>
      <c r="D16" s="2">
        <v>338.0</v>
      </c>
      <c r="E16" s="2">
        <v>6890.89</v>
      </c>
      <c r="F16" s="2">
        <v>2329121.0</v>
      </c>
      <c r="G16" s="2">
        <v>303.0</v>
      </c>
      <c r="H16" s="6">
        <f t="shared" si="1"/>
        <v>4134.534</v>
      </c>
      <c r="I16" s="6">
        <f t="shared" si="2"/>
        <v>931648.328</v>
      </c>
      <c r="J16" s="6">
        <f t="shared" si="3"/>
        <v>338</v>
      </c>
      <c r="K16" s="6">
        <f t="shared" si="4"/>
        <v>6890.89</v>
      </c>
      <c r="L16" s="6">
        <f t="shared" si="5"/>
        <v>2329120.82</v>
      </c>
      <c r="M16" s="6">
        <f t="shared" si="6"/>
        <v>931648.328</v>
      </c>
    </row>
    <row r="17">
      <c r="A17" s="2" t="s">
        <v>26</v>
      </c>
      <c r="B17" s="5" t="s">
        <v>23</v>
      </c>
      <c r="C17" s="2" t="s">
        <v>12</v>
      </c>
      <c r="D17" s="2">
        <v>240.0</v>
      </c>
      <c r="E17" s="2">
        <v>6427.98</v>
      </c>
      <c r="F17" s="2">
        <v>1542716.0</v>
      </c>
      <c r="G17" s="2">
        <v>222.0</v>
      </c>
      <c r="H17" s="6">
        <f t="shared" si="1"/>
        <v>3856.788</v>
      </c>
      <c r="I17" s="6">
        <f t="shared" si="2"/>
        <v>617086.08</v>
      </c>
      <c r="J17" s="6">
        <f t="shared" si="3"/>
        <v>240</v>
      </c>
      <c r="K17" s="6">
        <f t="shared" si="4"/>
        <v>6427.98</v>
      </c>
      <c r="L17" s="6">
        <f t="shared" si="5"/>
        <v>1542715.2</v>
      </c>
      <c r="M17" s="6">
        <f t="shared" si="6"/>
        <v>617086.08</v>
      </c>
    </row>
    <row r="18">
      <c r="A18" s="2" t="s">
        <v>24</v>
      </c>
      <c r="B18" s="5" t="s">
        <v>14</v>
      </c>
      <c r="C18" s="2" t="s">
        <v>27</v>
      </c>
      <c r="D18" s="2">
        <v>432.0</v>
      </c>
      <c r="E18" s="2">
        <v>1182.23</v>
      </c>
      <c r="F18" s="2">
        <v>510722.0</v>
      </c>
      <c r="G18" s="2">
        <v>337.0</v>
      </c>
      <c r="H18" s="6">
        <f t="shared" si="1"/>
        <v>709.338</v>
      </c>
      <c r="I18" s="6">
        <f t="shared" si="2"/>
        <v>204289.344</v>
      </c>
      <c r="J18" s="6">
        <f t="shared" si="3"/>
        <v>432</v>
      </c>
      <c r="K18" s="6">
        <f t="shared" si="4"/>
        <v>1182.23</v>
      </c>
      <c r="L18" s="6">
        <f t="shared" si="5"/>
        <v>510723.36</v>
      </c>
      <c r="M18" s="6">
        <f t="shared" si="6"/>
        <v>204289.344</v>
      </c>
    </row>
    <row r="19">
      <c r="A19" s="2" t="s">
        <v>10</v>
      </c>
      <c r="B19" s="5" t="s">
        <v>16</v>
      </c>
      <c r="C19" s="2" t="s">
        <v>27</v>
      </c>
      <c r="D19" s="2">
        <v>1125.0</v>
      </c>
      <c r="E19" s="2">
        <v>1158.96</v>
      </c>
      <c r="F19" s="2">
        <v>1303832.0</v>
      </c>
      <c r="G19" s="2">
        <v>1037.0</v>
      </c>
      <c r="H19" s="6">
        <f t="shared" si="1"/>
        <v>695.376</v>
      </c>
      <c r="I19" s="6">
        <f t="shared" si="2"/>
        <v>521532</v>
      </c>
      <c r="J19" s="6">
        <f t="shared" si="3"/>
        <v>1125</v>
      </c>
      <c r="K19" s="6">
        <f t="shared" si="4"/>
        <v>1158.96</v>
      </c>
      <c r="L19" s="6">
        <f t="shared" si="5"/>
        <v>1303830</v>
      </c>
      <c r="M19" s="6">
        <f t="shared" si="6"/>
        <v>521532</v>
      </c>
    </row>
    <row r="20">
      <c r="A20" s="2" t="s">
        <v>20</v>
      </c>
      <c r="B20" s="5" t="s">
        <v>28</v>
      </c>
      <c r="C20" s="2" t="s">
        <v>9</v>
      </c>
      <c r="D20" s="2">
        <v>1061.0</v>
      </c>
      <c r="E20" s="2">
        <v>5393.56</v>
      </c>
      <c r="F20" s="2">
        <v>5722566.0</v>
      </c>
      <c r="G20" s="2">
        <v>805.0</v>
      </c>
      <c r="H20" s="6">
        <f t="shared" si="1"/>
        <v>3236.136</v>
      </c>
      <c r="I20" s="6">
        <f t="shared" si="2"/>
        <v>2289026.864</v>
      </c>
      <c r="J20" s="6">
        <f t="shared" si="3"/>
        <v>1061</v>
      </c>
      <c r="K20" s="6">
        <f t="shared" si="4"/>
        <v>4854.204</v>
      </c>
      <c r="L20" s="6">
        <f t="shared" si="5"/>
        <v>5150310.444</v>
      </c>
      <c r="M20" s="6">
        <f t="shared" si="6"/>
        <v>1716770.148</v>
      </c>
    </row>
    <row r="21" ht="15.75" customHeight="1">
      <c r="A21" s="2" t="s">
        <v>7</v>
      </c>
      <c r="B21" s="5" t="s">
        <v>29</v>
      </c>
      <c r="C21" s="2" t="s">
        <v>9</v>
      </c>
      <c r="D21" s="2">
        <v>806.0</v>
      </c>
      <c r="E21" s="2">
        <v>5447.22</v>
      </c>
      <c r="F21" s="2">
        <v>4390463.0</v>
      </c>
      <c r="G21" s="2">
        <v>650.0</v>
      </c>
      <c r="H21" s="6">
        <f t="shared" si="1"/>
        <v>3268.332</v>
      </c>
      <c r="I21" s="6">
        <f t="shared" si="2"/>
        <v>1756183.728</v>
      </c>
      <c r="J21" s="6">
        <f t="shared" si="3"/>
        <v>806</v>
      </c>
      <c r="K21" s="6">
        <f t="shared" si="4"/>
        <v>5447.22</v>
      </c>
      <c r="L21" s="6">
        <f t="shared" si="5"/>
        <v>4390459.32</v>
      </c>
      <c r="M21" s="6">
        <f t="shared" si="6"/>
        <v>1756183.728</v>
      </c>
    </row>
    <row r="22" ht="15.75" customHeight="1">
      <c r="A22" s="2" t="s">
        <v>30</v>
      </c>
      <c r="B22" s="5" t="s">
        <v>16</v>
      </c>
      <c r="C22" s="2" t="s">
        <v>9</v>
      </c>
      <c r="D22" s="2">
        <v>1174.0</v>
      </c>
      <c r="E22" s="2">
        <v>5288.04</v>
      </c>
      <c r="F22" s="2">
        <v>6208155.0</v>
      </c>
      <c r="G22" s="2">
        <v>987.0</v>
      </c>
      <c r="H22" s="6">
        <f t="shared" si="1"/>
        <v>3172.824</v>
      </c>
      <c r="I22" s="6">
        <f t="shared" si="2"/>
        <v>2483263.584</v>
      </c>
      <c r="J22" s="6">
        <f t="shared" si="3"/>
        <v>1174</v>
      </c>
      <c r="K22" s="6">
        <f t="shared" si="4"/>
        <v>5288.04</v>
      </c>
      <c r="L22" s="6">
        <f t="shared" si="5"/>
        <v>6208158.96</v>
      </c>
      <c r="M22" s="6">
        <f t="shared" si="6"/>
        <v>2483263.584</v>
      </c>
    </row>
    <row r="23" ht="15.75" customHeight="1">
      <c r="A23" s="2" t="s">
        <v>19</v>
      </c>
      <c r="B23" s="5" t="s">
        <v>18</v>
      </c>
      <c r="C23" s="2" t="s">
        <v>12</v>
      </c>
      <c r="D23" s="2">
        <v>430.0</v>
      </c>
      <c r="E23" s="2">
        <v>6988.35</v>
      </c>
      <c r="F23" s="2">
        <v>3004991.0</v>
      </c>
      <c r="G23" s="2">
        <v>345.0</v>
      </c>
      <c r="H23" s="6">
        <f t="shared" si="1"/>
        <v>4193.01</v>
      </c>
      <c r="I23" s="6">
        <f t="shared" si="2"/>
        <v>1201996.2</v>
      </c>
      <c r="J23" s="6">
        <f t="shared" si="3"/>
        <v>430</v>
      </c>
      <c r="K23" s="6">
        <f t="shared" si="4"/>
        <v>6988.35</v>
      </c>
      <c r="L23" s="6">
        <f t="shared" si="5"/>
        <v>3004990.5</v>
      </c>
      <c r="M23" s="6">
        <f t="shared" si="6"/>
        <v>1201996.2</v>
      </c>
    </row>
    <row r="24" ht="15.75" customHeight="1">
      <c r="A24" s="2" t="s">
        <v>19</v>
      </c>
      <c r="B24" s="5" t="s">
        <v>11</v>
      </c>
      <c r="C24" s="2" t="s">
        <v>12</v>
      </c>
      <c r="D24" s="2">
        <v>442.0</v>
      </c>
      <c r="E24" s="2">
        <v>6850.43</v>
      </c>
      <c r="F24" s="2">
        <v>3027892.0</v>
      </c>
      <c r="G24" s="2">
        <v>405.0</v>
      </c>
      <c r="H24" s="6">
        <f t="shared" si="1"/>
        <v>4110.258</v>
      </c>
      <c r="I24" s="6">
        <f t="shared" si="2"/>
        <v>1211156.024</v>
      </c>
      <c r="J24" s="6">
        <f t="shared" si="3"/>
        <v>442</v>
      </c>
      <c r="K24" s="6">
        <f t="shared" si="4"/>
        <v>6850.43</v>
      </c>
      <c r="L24" s="6">
        <f t="shared" si="5"/>
        <v>3027890.06</v>
      </c>
      <c r="M24" s="6">
        <f t="shared" si="6"/>
        <v>1211156.024</v>
      </c>
    </row>
    <row r="25" ht="15.75" customHeight="1">
      <c r="A25" s="2" t="s">
        <v>19</v>
      </c>
      <c r="B25" s="5" t="s">
        <v>29</v>
      </c>
      <c r="C25" s="2" t="s">
        <v>27</v>
      </c>
      <c r="D25" s="2">
        <v>905.0</v>
      </c>
      <c r="E25" s="2">
        <v>1315.82</v>
      </c>
      <c r="F25" s="2">
        <v>1190816.0</v>
      </c>
      <c r="G25" s="2">
        <v>661.0</v>
      </c>
      <c r="H25" s="6">
        <f t="shared" si="1"/>
        <v>789.492</v>
      </c>
      <c r="I25" s="6">
        <f t="shared" si="2"/>
        <v>476326.84</v>
      </c>
      <c r="J25" s="6">
        <f t="shared" si="3"/>
        <v>905</v>
      </c>
      <c r="K25" s="6">
        <f t="shared" si="4"/>
        <v>1315.82</v>
      </c>
      <c r="L25" s="6">
        <f t="shared" si="5"/>
        <v>1190817.1</v>
      </c>
      <c r="M25" s="6">
        <f t="shared" si="6"/>
        <v>476326.84</v>
      </c>
    </row>
    <row r="26" ht="15.75" customHeight="1">
      <c r="A26" s="2" t="s">
        <v>24</v>
      </c>
      <c r="B26" s="5" t="s">
        <v>11</v>
      </c>
      <c r="C26" s="2" t="s">
        <v>21</v>
      </c>
      <c r="D26" s="2">
        <v>228.0</v>
      </c>
      <c r="E26" s="2">
        <v>21186.31</v>
      </c>
      <c r="F26" s="2">
        <v>4830479.0</v>
      </c>
      <c r="G26" s="2">
        <v>206.0</v>
      </c>
      <c r="H26" s="6">
        <f t="shared" si="1"/>
        <v>12711.786</v>
      </c>
      <c r="I26" s="6">
        <f t="shared" si="2"/>
        <v>1932191.472</v>
      </c>
      <c r="J26" s="6">
        <f t="shared" si="3"/>
        <v>228</v>
      </c>
      <c r="K26" s="6">
        <f t="shared" si="4"/>
        <v>21186.31</v>
      </c>
      <c r="L26" s="6">
        <f t="shared" si="5"/>
        <v>4830478.68</v>
      </c>
      <c r="M26" s="6">
        <f t="shared" si="6"/>
        <v>1932191.472</v>
      </c>
    </row>
    <row r="27" ht="15.75" customHeight="1">
      <c r="A27" s="2" t="s">
        <v>24</v>
      </c>
      <c r="B27" s="5" t="s">
        <v>28</v>
      </c>
      <c r="C27" s="2" t="s">
        <v>12</v>
      </c>
      <c r="D27" s="2">
        <v>397.0</v>
      </c>
      <c r="E27" s="2">
        <v>6260.95</v>
      </c>
      <c r="F27" s="2">
        <v>2485595.0</v>
      </c>
      <c r="G27" s="2">
        <v>328.0</v>
      </c>
      <c r="H27" s="6">
        <f t="shared" si="1"/>
        <v>3756.57</v>
      </c>
      <c r="I27" s="6">
        <f t="shared" si="2"/>
        <v>994238.86</v>
      </c>
      <c r="J27" s="6">
        <f t="shared" si="3"/>
        <v>397</v>
      </c>
      <c r="K27" s="6">
        <f t="shared" si="4"/>
        <v>6260.95</v>
      </c>
      <c r="L27" s="6">
        <f t="shared" si="5"/>
        <v>2485597.15</v>
      </c>
      <c r="M27" s="6">
        <f t="shared" si="6"/>
        <v>994238.86</v>
      </c>
    </row>
    <row r="28" ht="15.75" customHeight="1">
      <c r="A28" s="2" t="s">
        <v>24</v>
      </c>
      <c r="B28" s="5" t="s">
        <v>18</v>
      </c>
      <c r="C28" s="2" t="s">
        <v>9</v>
      </c>
      <c r="D28" s="2">
        <v>833.0</v>
      </c>
      <c r="E28" s="2">
        <v>5390.59</v>
      </c>
      <c r="F28" s="2">
        <v>4490359.0</v>
      </c>
      <c r="G28" s="2">
        <v>650.0</v>
      </c>
      <c r="H28" s="6">
        <f t="shared" si="1"/>
        <v>3234.354</v>
      </c>
      <c r="I28" s="6">
        <f t="shared" si="2"/>
        <v>1796144.588</v>
      </c>
      <c r="J28" s="6">
        <f t="shared" si="3"/>
        <v>833</v>
      </c>
      <c r="K28" s="6">
        <f t="shared" si="4"/>
        <v>5390.59</v>
      </c>
      <c r="L28" s="6">
        <f t="shared" si="5"/>
        <v>4490361.47</v>
      </c>
      <c r="M28" s="6">
        <f t="shared" si="6"/>
        <v>1796144.588</v>
      </c>
    </row>
    <row r="29" ht="15.75" customHeight="1">
      <c r="A29" s="2" t="s">
        <v>13</v>
      </c>
      <c r="B29" s="5" t="s">
        <v>25</v>
      </c>
      <c r="C29" s="2" t="s">
        <v>27</v>
      </c>
      <c r="D29" s="2">
        <v>512.0</v>
      </c>
      <c r="E29" s="2">
        <v>1183.39</v>
      </c>
      <c r="F29" s="2">
        <v>605898.0</v>
      </c>
      <c r="G29" s="2">
        <v>366.0</v>
      </c>
      <c r="H29" s="6">
        <f t="shared" si="1"/>
        <v>710.034</v>
      </c>
      <c r="I29" s="6">
        <f t="shared" si="2"/>
        <v>242358.272</v>
      </c>
      <c r="J29" s="6">
        <f t="shared" si="3"/>
        <v>512</v>
      </c>
      <c r="K29" s="6">
        <f t="shared" si="4"/>
        <v>1183.39</v>
      </c>
      <c r="L29" s="6">
        <f t="shared" si="5"/>
        <v>605895.68</v>
      </c>
      <c r="M29" s="6">
        <f t="shared" si="6"/>
        <v>242358.272</v>
      </c>
    </row>
    <row r="30" ht="15.75" customHeight="1">
      <c r="A30" s="2" t="s">
        <v>30</v>
      </c>
      <c r="B30" s="5" t="s">
        <v>8</v>
      </c>
      <c r="C30" s="2" t="s">
        <v>27</v>
      </c>
      <c r="D30" s="2">
        <v>909.0</v>
      </c>
      <c r="E30" s="2">
        <v>1308.67</v>
      </c>
      <c r="F30" s="2">
        <v>1189583.0</v>
      </c>
      <c r="G30" s="2">
        <v>669.0</v>
      </c>
      <c r="H30" s="6">
        <f t="shared" si="1"/>
        <v>785.202</v>
      </c>
      <c r="I30" s="6">
        <f t="shared" si="2"/>
        <v>475832.412</v>
      </c>
      <c r="J30" s="6">
        <f t="shared" si="3"/>
        <v>909</v>
      </c>
      <c r="K30" s="6">
        <f t="shared" si="4"/>
        <v>1308.67</v>
      </c>
      <c r="L30" s="6">
        <f t="shared" si="5"/>
        <v>1189581.03</v>
      </c>
      <c r="M30" s="6">
        <f t="shared" si="6"/>
        <v>475832.412</v>
      </c>
    </row>
    <row r="31" ht="15.75" customHeight="1">
      <c r="A31" s="2" t="s">
        <v>13</v>
      </c>
      <c r="B31" s="5" t="s">
        <v>31</v>
      </c>
      <c r="C31" s="2" t="s">
        <v>12</v>
      </c>
      <c r="D31" s="2">
        <v>312.0</v>
      </c>
      <c r="E31" s="2">
        <v>7001.5</v>
      </c>
      <c r="F31" s="2">
        <v>2184467.0</v>
      </c>
      <c r="G31" s="2">
        <v>294.0</v>
      </c>
      <c r="H31" s="6">
        <f t="shared" si="1"/>
        <v>4200.9</v>
      </c>
      <c r="I31" s="6">
        <f t="shared" si="2"/>
        <v>873787.2</v>
      </c>
      <c r="J31" s="6">
        <f t="shared" si="3"/>
        <v>312</v>
      </c>
      <c r="K31" s="6">
        <f t="shared" si="4"/>
        <v>7001.5</v>
      </c>
      <c r="L31" s="6">
        <f t="shared" si="5"/>
        <v>2184468</v>
      </c>
      <c r="M31" s="6">
        <f t="shared" si="6"/>
        <v>873787.2</v>
      </c>
    </row>
    <row r="32" ht="15.75" customHeight="1">
      <c r="A32" s="2" t="s">
        <v>17</v>
      </c>
      <c r="B32" s="5" t="s">
        <v>11</v>
      </c>
      <c r="C32" s="2" t="s">
        <v>9</v>
      </c>
      <c r="D32" s="2">
        <v>824.0</v>
      </c>
      <c r="E32" s="2">
        <v>5586.7</v>
      </c>
      <c r="F32" s="2">
        <v>4603443.0</v>
      </c>
      <c r="G32" s="2">
        <v>686.0</v>
      </c>
      <c r="H32" s="6">
        <f t="shared" si="1"/>
        <v>3352.02</v>
      </c>
      <c r="I32" s="6">
        <f t="shared" si="2"/>
        <v>1841376.32</v>
      </c>
      <c r="J32" s="6">
        <f t="shared" si="3"/>
        <v>824</v>
      </c>
      <c r="K32" s="6">
        <f t="shared" si="4"/>
        <v>5586.7</v>
      </c>
      <c r="L32" s="6">
        <f t="shared" si="5"/>
        <v>4603440.8</v>
      </c>
      <c r="M32" s="6">
        <f t="shared" si="6"/>
        <v>1841376.32</v>
      </c>
    </row>
    <row r="33" ht="15.75" customHeight="1">
      <c r="A33" s="2" t="s">
        <v>30</v>
      </c>
      <c r="B33" s="5" t="s">
        <v>22</v>
      </c>
      <c r="C33" s="2" t="s">
        <v>27</v>
      </c>
      <c r="D33" s="2">
        <v>646.0</v>
      </c>
      <c r="E33" s="2">
        <v>1306.58</v>
      </c>
      <c r="F33" s="2">
        <v>844050.0</v>
      </c>
      <c r="G33" s="2">
        <v>560.0</v>
      </c>
      <c r="H33" s="6">
        <f t="shared" si="1"/>
        <v>783.948</v>
      </c>
      <c r="I33" s="6">
        <f t="shared" si="2"/>
        <v>337620.272</v>
      </c>
      <c r="J33" s="6">
        <f t="shared" si="3"/>
        <v>646</v>
      </c>
      <c r="K33" s="6">
        <f t="shared" si="4"/>
        <v>1306.58</v>
      </c>
      <c r="L33" s="6">
        <f t="shared" si="5"/>
        <v>844050.68</v>
      </c>
      <c r="M33" s="6">
        <f t="shared" si="6"/>
        <v>337620.272</v>
      </c>
    </row>
    <row r="34" ht="15.75" customHeight="1">
      <c r="A34" s="2" t="s">
        <v>13</v>
      </c>
      <c r="B34" s="5" t="s">
        <v>29</v>
      </c>
      <c r="C34" s="2" t="s">
        <v>9</v>
      </c>
      <c r="D34" s="2">
        <v>893.0</v>
      </c>
      <c r="E34" s="2">
        <v>5580.56</v>
      </c>
      <c r="F34" s="2">
        <v>4983439.0</v>
      </c>
      <c r="G34" s="2">
        <v>766.0</v>
      </c>
      <c r="H34" s="6">
        <f t="shared" si="1"/>
        <v>3348.336</v>
      </c>
      <c r="I34" s="6">
        <f t="shared" si="2"/>
        <v>1993376.032</v>
      </c>
      <c r="J34" s="6">
        <f t="shared" si="3"/>
        <v>893</v>
      </c>
      <c r="K34" s="6">
        <f t="shared" si="4"/>
        <v>5580.56</v>
      </c>
      <c r="L34" s="6">
        <f t="shared" si="5"/>
        <v>4983440.08</v>
      </c>
      <c r="M34" s="6">
        <f t="shared" si="6"/>
        <v>1993376.032</v>
      </c>
    </row>
    <row r="35" ht="15.75" customHeight="1">
      <c r="A35" s="2" t="s">
        <v>20</v>
      </c>
      <c r="B35" s="5" t="s">
        <v>25</v>
      </c>
      <c r="C35" s="2" t="s">
        <v>27</v>
      </c>
      <c r="D35" s="2">
        <v>586.0</v>
      </c>
      <c r="E35" s="2">
        <v>1059.81</v>
      </c>
      <c r="F35" s="2">
        <v>621052.0</v>
      </c>
      <c r="G35" s="2">
        <v>437.0</v>
      </c>
      <c r="H35" s="6">
        <f t="shared" si="1"/>
        <v>635.886</v>
      </c>
      <c r="I35" s="6">
        <f t="shared" si="2"/>
        <v>248419.464</v>
      </c>
      <c r="J35" s="6">
        <f t="shared" si="3"/>
        <v>586</v>
      </c>
      <c r="K35" s="6">
        <f t="shared" si="4"/>
        <v>1059.81</v>
      </c>
      <c r="L35" s="6">
        <f t="shared" si="5"/>
        <v>621048.66</v>
      </c>
      <c r="M35" s="6">
        <f t="shared" si="6"/>
        <v>248419.464</v>
      </c>
    </row>
    <row r="36" ht="15.75" customHeight="1">
      <c r="A36" s="2" t="s">
        <v>10</v>
      </c>
      <c r="B36" s="5" t="s">
        <v>8</v>
      </c>
      <c r="C36" s="2" t="s">
        <v>27</v>
      </c>
      <c r="D36" s="2">
        <v>802.0</v>
      </c>
      <c r="E36" s="2">
        <v>1288.75</v>
      </c>
      <c r="F36" s="2">
        <v>1033578.0</v>
      </c>
      <c r="G36" s="2">
        <v>631.0</v>
      </c>
      <c r="H36" s="6">
        <f t="shared" si="1"/>
        <v>773.25</v>
      </c>
      <c r="I36" s="6">
        <f t="shared" si="2"/>
        <v>413431</v>
      </c>
      <c r="J36" s="6">
        <f t="shared" si="3"/>
        <v>802</v>
      </c>
      <c r="K36" s="6">
        <f t="shared" si="4"/>
        <v>1288.75</v>
      </c>
      <c r="L36" s="6">
        <f t="shared" si="5"/>
        <v>1033577.5</v>
      </c>
      <c r="M36" s="6">
        <f t="shared" si="6"/>
        <v>413431</v>
      </c>
    </row>
    <row r="37" ht="15.75" customHeight="1">
      <c r="A37" s="2" t="s">
        <v>7</v>
      </c>
      <c r="B37" s="5" t="s">
        <v>8</v>
      </c>
      <c r="C37" s="2" t="s">
        <v>9</v>
      </c>
      <c r="D37" s="2">
        <v>1150.0</v>
      </c>
      <c r="E37" s="2">
        <v>5421.1</v>
      </c>
      <c r="F37" s="2">
        <v>6234261.0</v>
      </c>
      <c r="G37" s="2">
        <v>1074.0</v>
      </c>
      <c r="H37" s="6">
        <f t="shared" si="1"/>
        <v>3252.66</v>
      </c>
      <c r="I37" s="6">
        <f t="shared" si="2"/>
        <v>2493706</v>
      </c>
      <c r="J37" s="6">
        <f t="shared" si="3"/>
        <v>1150</v>
      </c>
      <c r="K37" s="6">
        <f t="shared" si="4"/>
        <v>5421.1</v>
      </c>
      <c r="L37" s="6">
        <f t="shared" si="5"/>
        <v>6234265</v>
      </c>
      <c r="M37" s="6">
        <f t="shared" si="6"/>
        <v>2493706</v>
      </c>
    </row>
    <row r="38" ht="15.75" customHeight="1">
      <c r="A38" s="2" t="s">
        <v>20</v>
      </c>
      <c r="B38" s="5" t="s">
        <v>29</v>
      </c>
      <c r="C38" s="2" t="s">
        <v>27</v>
      </c>
      <c r="D38" s="2">
        <v>872.0</v>
      </c>
      <c r="E38" s="2">
        <v>1220.57</v>
      </c>
      <c r="F38" s="2">
        <v>1064333.0</v>
      </c>
      <c r="G38" s="2">
        <v>762.0</v>
      </c>
      <c r="H38" s="6">
        <f t="shared" si="1"/>
        <v>732.342</v>
      </c>
      <c r="I38" s="6">
        <f t="shared" si="2"/>
        <v>425734.816</v>
      </c>
      <c r="J38" s="6">
        <f t="shared" si="3"/>
        <v>872</v>
      </c>
      <c r="K38" s="6">
        <f t="shared" si="4"/>
        <v>1220.57</v>
      </c>
      <c r="L38" s="6">
        <f t="shared" si="5"/>
        <v>1064337.04</v>
      </c>
      <c r="M38" s="6">
        <f t="shared" si="6"/>
        <v>425734.816</v>
      </c>
    </row>
    <row r="39" ht="15.75" customHeight="1">
      <c r="A39" s="2" t="s">
        <v>7</v>
      </c>
      <c r="B39" s="5" t="s">
        <v>16</v>
      </c>
      <c r="C39" s="2" t="s">
        <v>27</v>
      </c>
      <c r="D39" s="2">
        <v>745.0</v>
      </c>
      <c r="E39" s="2">
        <v>1055.65</v>
      </c>
      <c r="F39" s="2">
        <v>786460.0</v>
      </c>
      <c r="G39" s="2">
        <v>704.0</v>
      </c>
      <c r="H39" s="6">
        <f t="shared" si="1"/>
        <v>633.39</v>
      </c>
      <c r="I39" s="6">
        <f t="shared" si="2"/>
        <v>314583.7</v>
      </c>
      <c r="J39" s="6">
        <f t="shared" si="3"/>
        <v>745</v>
      </c>
      <c r="K39" s="6">
        <f t="shared" si="4"/>
        <v>1055.65</v>
      </c>
      <c r="L39" s="6">
        <f t="shared" si="5"/>
        <v>786459.25</v>
      </c>
      <c r="M39" s="6">
        <f t="shared" si="6"/>
        <v>314583.7</v>
      </c>
    </row>
    <row r="40" ht="15.75" customHeight="1">
      <c r="A40" s="2" t="s">
        <v>19</v>
      </c>
      <c r="B40" s="5" t="s">
        <v>16</v>
      </c>
      <c r="C40" s="2" t="s">
        <v>9</v>
      </c>
      <c r="D40" s="2">
        <v>601.0</v>
      </c>
      <c r="E40" s="2">
        <v>5500.1</v>
      </c>
      <c r="F40" s="2">
        <v>3305558.0</v>
      </c>
      <c r="G40" s="2">
        <v>449.0</v>
      </c>
      <c r="H40" s="6">
        <f t="shared" si="1"/>
        <v>3300.06</v>
      </c>
      <c r="I40" s="6">
        <f t="shared" si="2"/>
        <v>1322224.04</v>
      </c>
      <c r="J40" s="6">
        <f t="shared" si="3"/>
        <v>601</v>
      </c>
      <c r="K40" s="6">
        <f t="shared" si="4"/>
        <v>5500.1</v>
      </c>
      <c r="L40" s="6">
        <f t="shared" si="5"/>
        <v>3305560.1</v>
      </c>
      <c r="M40" s="6">
        <f t="shared" si="6"/>
        <v>1322224.04</v>
      </c>
    </row>
    <row r="41" ht="15.75" customHeight="1">
      <c r="A41" s="2" t="s">
        <v>24</v>
      </c>
      <c r="B41" s="5" t="s">
        <v>28</v>
      </c>
      <c r="C41" s="2" t="s">
        <v>12</v>
      </c>
      <c r="D41" s="2">
        <v>407.0</v>
      </c>
      <c r="E41" s="2">
        <v>6745.73</v>
      </c>
      <c r="F41" s="2">
        <v>2745511.0</v>
      </c>
      <c r="G41" s="2">
        <v>376.0</v>
      </c>
      <c r="H41" s="6">
        <f t="shared" si="1"/>
        <v>4047.438</v>
      </c>
      <c r="I41" s="6">
        <f t="shared" si="2"/>
        <v>1098204.844</v>
      </c>
      <c r="J41" s="6">
        <f t="shared" si="3"/>
        <v>407</v>
      </c>
      <c r="K41" s="6">
        <f t="shared" si="4"/>
        <v>6745.73</v>
      </c>
      <c r="L41" s="6">
        <f t="shared" si="5"/>
        <v>2745512.11</v>
      </c>
      <c r="M41" s="6">
        <f t="shared" si="6"/>
        <v>1098204.844</v>
      </c>
    </row>
    <row r="42" ht="15.75" customHeight="1">
      <c r="A42" s="2" t="s">
        <v>13</v>
      </c>
      <c r="B42" s="5" t="s">
        <v>22</v>
      </c>
      <c r="C42" s="2" t="s">
        <v>27</v>
      </c>
      <c r="D42" s="2">
        <v>1072.0</v>
      </c>
      <c r="E42" s="2">
        <v>1132.0</v>
      </c>
      <c r="F42" s="2">
        <v>1213501.0</v>
      </c>
      <c r="G42" s="2">
        <v>793.0</v>
      </c>
      <c r="H42" s="6">
        <f t="shared" si="1"/>
        <v>679.2</v>
      </c>
      <c r="I42" s="6">
        <f t="shared" si="2"/>
        <v>485401.6</v>
      </c>
      <c r="J42" s="6">
        <f t="shared" si="3"/>
        <v>1072</v>
      </c>
      <c r="K42" s="6">
        <f t="shared" si="4"/>
        <v>1132</v>
      </c>
      <c r="L42" s="6">
        <f t="shared" si="5"/>
        <v>1213504</v>
      </c>
      <c r="M42" s="6">
        <f t="shared" si="6"/>
        <v>485401.6</v>
      </c>
    </row>
    <row r="43" ht="15.75" customHeight="1">
      <c r="A43" s="2" t="s">
        <v>17</v>
      </c>
      <c r="B43" s="5" t="s">
        <v>14</v>
      </c>
      <c r="C43" s="2" t="s">
        <v>27</v>
      </c>
      <c r="D43" s="2">
        <v>653.0</v>
      </c>
      <c r="E43" s="2">
        <v>1223.23</v>
      </c>
      <c r="F43" s="2">
        <v>798766.0</v>
      </c>
      <c r="G43" s="2">
        <v>458.0</v>
      </c>
      <c r="H43" s="6">
        <f t="shared" si="1"/>
        <v>733.938</v>
      </c>
      <c r="I43" s="6">
        <f t="shared" si="2"/>
        <v>319507.676</v>
      </c>
      <c r="J43" s="6">
        <f t="shared" si="3"/>
        <v>653</v>
      </c>
      <c r="K43" s="6">
        <f t="shared" si="4"/>
        <v>1223.23</v>
      </c>
      <c r="L43" s="6">
        <f t="shared" si="5"/>
        <v>798769.19</v>
      </c>
      <c r="M43" s="6">
        <f t="shared" si="6"/>
        <v>319507.676</v>
      </c>
    </row>
    <row r="44" ht="15.75" customHeight="1">
      <c r="A44" s="2" t="s">
        <v>24</v>
      </c>
      <c r="B44" s="5" t="s">
        <v>28</v>
      </c>
      <c r="C44" s="2" t="s">
        <v>9</v>
      </c>
      <c r="D44" s="2">
        <v>937.0</v>
      </c>
      <c r="E44" s="2">
        <v>4724.11</v>
      </c>
      <c r="F44" s="2">
        <v>4426490.0</v>
      </c>
      <c r="G44" s="2">
        <v>888.0</v>
      </c>
      <c r="H44" s="6">
        <f t="shared" si="1"/>
        <v>2834.466</v>
      </c>
      <c r="I44" s="6">
        <f t="shared" si="2"/>
        <v>1770596.428</v>
      </c>
      <c r="J44" s="6">
        <f t="shared" si="3"/>
        <v>937</v>
      </c>
      <c r="K44" s="6">
        <f t="shared" si="4"/>
        <v>4251.699</v>
      </c>
      <c r="L44" s="6">
        <f t="shared" si="5"/>
        <v>3983841.963</v>
      </c>
      <c r="M44" s="6">
        <f t="shared" si="6"/>
        <v>1327947.321</v>
      </c>
    </row>
    <row r="45" ht="15.75" customHeight="1">
      <c r="A45" s="2" t="s">
        <v>19</v>
      </c>
      <c r="B45" s="5" t="s">
        <v>31</v>
      </c>
      <c r="C45" s="2" t="s">
        <v>27</v>
      </c>
      <c r="D45" s="2">
        <v>797.0</v>
      </c>
      <c r="E45" s="2">
        <v>1119.68</v>
      </c>
      <c r="F45" s="2">
        <v>892387.0</v>
      </c>
      <c r="G45" s="2">
        <v>622.0</v>
      </c>
      <c r="H45" s="6">
        <f t="shared" si="1"/>
        <v>671.808</v>
      </c>
      <c r="I45" s="6">
        <f t="shared" si="2"/>
        <v>356953.984</v>
      </c>
      <c r="J45" s="6">
        <f t="shared" si="3"/>
        <v>797</v>
      </c>
      <c r="K45" s="6">
        <f t="shared" si="4"/>
        <v>1119.68</v>
      </c>
      <c r="L45" s="6">
        <f t="shared" si="5"/>
        <v>892384.96</v>
      </c>
      <c r="M45" s="6">
        <f t="shared" si="6"/>
        <v>356953.984</v>
      </c>
    </row>
    <row r="46" ht="15.75" customHeight="1">
      <c r="A46" s="2" t="s">
        <v>19</v>
      </c>
      <c r="B46" s="5" t="s">
        <v>14</v>
      </c>
      <c r="C46" s="2" t="s">
        <v>27</v>
      </c>
      <c r="D46" s="2">
        <v>791.0</v>
      </c>
      <c r="E46" s="2">
        <v>1242.45</v>
      </c>
      <c r="F46" s="2">
        <v>982777.0</v>
      </c>
      <c r="G46" s="2">
        <v>666.0</v>
      </c>
      <c r="H46" s="6">
        <f t="shared" si="1"/>
        <v>745.47</v>
      </c>
      <c r="I46" s="6">
        <f t="shared" si="2"/>
        <v>393111.18</v>
      </c>
      <c r="J46" s="6">
        <f t="shared" si="3"/>
        <v>791</v>
      </c>
      <c r="K46" s="6">
        <f t="shared" si="4"/>
        <v>1242.45</v>
      </c>
      <c r="L46" s="6">
        <f t="shared" si="5"/>
        <v>982777.95</v>
      </c>
      <c r="M46" s="6">
        <f t="shared" si="6"/>
        <v>393111.18</v>
      </c>
    </row>
    <row r="47" ht="15.75" customHeight="1">
      <c r="A47" s="2" t="s">
        <v>10</v>
      </c>
      <c r="B47" s="5" t="s">
        <v>22</v>
      </c>
      <c r="C47" s="2" t="s">
        <v>12</v>
      </c>
      <c r="D47" s="2">
        <v>221.0</v>
      </c>
      <c r="E47" s="2">
        <v>6982.16</v>
      </c>
      <c r="F47" s="2">
        <v>1543058.0</v>
      </c>
      <c r="G47" s="2">
        <v>168.0</v>
      </c>
      <c r="H47" s="6">
        <f t="shared" si="1"/>
        <v>4189.296</v>
      </c>
      <c r="I47" s="6">
        <f t="shared" si="2"/>
        <v>617222.944</v>
      </c>
      <c r="J47" s="6">
        <f t="shared" si="3"/>
        <v>221</v>
      </c>
      <c r="K47" s="6">
        <f t="shared" si="4"/>
        <v>6982.16</v>
      </c>
      <c r="L47" s="6">
        <f t="shared" si="5"/>
        <v>1543057.36</v>
      </c>
      <c r="M47" s="6">
        <f t="shared" si="6"/>
        <v>617222.944</v>
      </c>
    </row>
    <row r="48" ht="15.75" customHeight="1">
      <c r="A48" s="2" t="s">
        <v>17</v>
      </c>
      <c r="B48" s="5" t="s">
        <v>22</v>
      </c>
      <c r="C48" s="2" t="s">
        <v>9</v>
      </c>
      <c r="D48" s="2">
        <v>1162.0</v>
      </c>
      <c r="E48" s="2">
        <v>5355.34</v>
      </c>
      <c r="F48" s="2">
        <v>6222903.0</v>
      </c>
      <c r="G48" s="2">
        <v>1044.0</v>
      </c>
      <c r="H48" s="6">
        <f t="shared" si="1"/>
        <v>3213.204</v>
      </c>
      <c r="I48" s="6">
        <f t="shared" si="2"/>
        <v>2489162.032</v>
      </c>
      <c r="J48" s="6">
        <f t="shared" si="3"/>
        <v>1162</v>
      </c>
      <c r="K48" s="6">
        <f t="shared" si="4"/>
        <v>4819.806</v>
      </c>
      <c r="L48" s="6">
        <f t="shared" si="5"/>
        <v>5600614.572</v>
      </c>
      <c r="M48" s="6">
        <f t="shared" si="6"/>
        <v>1866871.524</v>
      </c>
    </row>
    <row r="49" ht="15.75" customHeight="1">
      <c r="A49" s="2" t="s">
        <v>20</v>
      </c>
      <c r="B49" s="5" t="s">
        <v>16</v>
      </c>
      <c r="C49" s="2" t="s">
        <v>12</v>
      </c>
      <c r="D49" s="2">
        <v>346.0</v>
      </c>
      <c r="E49" s="2">
        <v>6948.15</v>
      </c>
      <c r="F49" s="2">
        <v>2404062.0</v>
      </c>
      <c r="G49" s="2">
        <v>291.0</v>
      </c>
      <c r="H49" s="6">
        <f t="shared" si="1"/>
        <v>4168.89</v>
      </c>
      <c r="I49" s="6">
        <f t="shared" si="2"/>
        <v>961623.96</v>
      </c>
      <c r="J49" s="6">
        <f t="shared" si="3"/>
        <v>346</v>
      </c>
      <c r="K49" s="6">
        <f t="shared" si="4"/>
        <v>6948.15</v>
      </c>
      <c r="L49" s="6">
        <f t="shared" si="5"/>
        <v>2404059.9</v>
      </c>
      <c r="M49" s="6">
        <f t="shared" si="6"/>
        <v>961623.96</v>
      </c>
    </row>
    <row r="50" ht="15.75" customHeight="1">
      <c r="A50" s="2" t="s">
        <v>20</v>
      </c>
      <c r="B50" s="5" t="s">
        <v>31</v>
      </c>
      <c r="C50" s="2" t="s">
        <v>27</v>
      </c>
      <c r="D50" s="2">
        <v>619.0</v>
      </c>
      <c r="E50" s="2">
        <v>1021.67</v>
      </c>
      <c r="F50" s="2">
        <v>632417.0</v>
      </c>
      <c r="G50" s="2">
        <v>570.0</v>
      </c>
      <c r="H50" s="6">
        <f t="shared" si="1"/>
        <v>613.002</v>
      </c>
      <c r="I50" s="6">
        <f t="shared" si="2"/>
        <v>252965.492</v>
      </c>
      <c r="J50" s="6">
        <f t="shared" si="3"/>
        <v>619</v>
      </c>
      <c r="K50" s="6">
        <f t="shared" si="4"/>
        <v>1021.67</v>
      </c>
      <c r="L50" s="6">
        <f t="shared" si="5"/>
        <v>632413.73</v>
      </c>
      <c r="M50" s="6">
        <f t="shared" si="6"/>
        <v>252965.492</v>
      </c>
    </row>
    <row r="51" ht="15.75" customHeight="1">
      <c r="A51" s="2" t="s">
        <v>24</v>
      </c>
      <c r="B51" s="5" t="s">
        <v>18</v>
      </c>
      <c r="C51" s="2" t="s">
        <v>27</v>
      </c>
      <c r="D51" s="2">
        <v>748.0</v>
      </c>
      <c r="E51" s="2">
        <v>1175.69</v>
      </c>
      <c r="F51" s="2">
        <v>879414.0</v>
      </c>
      <c r="G51" s="2">
        <v>603.0</v>
      </c>
      <c r="H51" s="6">
        <f t="shared" si="1"/>
        <v>705.414</v>
      </c>
      <c r="I51" s="6">
        <f t="shared" si="2"/>
        <v>351766.448</v>
      </c>
      <c r="J51" s="6">
        <f t="shared" si="3"/>
        <v>748</v>
      </c>
      <c r="K51" s="6">
        <f t="shared" si="4"/>
        <v>1175.69</v>
      </c>
      <c r="L51" s="6">
        <f t="shared" si="5"/>
        <v>879416.12</v>
      </c>
      <c r="M51" s="6">
        <f t="shared" si="6"/>
        <v>351766.448</v>
      </c>
    </row>
    <row r="52" ht="15.75" customHeight="1">
      <c r="A52" s="2" t="s">
        <v>26</v>
      </c>
      <c r="B52" s="5" t="s">
        <v>28</v>
      </c>
      <c r="C52" s="2" t="s">
        <v>27</v>
      </c>
      <c r="D52" s="2">
        <v>515.0</v>
      </c>
      <c r="E52" s="2">
        <v>1115.32</v>
      </c>
      <c r="F52" s="2">
        <v>574390.0</v>
      </c>
      <c r="G52" s="2">
        <v>470.0</v>
      </c>
      <c r="H52" s="6">
        <f t="shared" si="1"/>
        <v>669.192</v>
      </c>
      <c r="I52" s="6">
        <f t="shared" si="2"/>
        <v>229755.92</v>
      </c>
      <c r="J52" s="6">
        <f t="shared" si="3"/>
        <v>515</v>
      </c>
      <c r="K52" s="6">
        <f t="shared" si="4"/>
        <v>1115.32</v>
      </c>
      <c r="L52" s="6">
        <f t="shared" si="5"/>
        <v>574389.8</v>
      </c>
      <c r="M52" s="6">
        <f t="shared" si="6"/>
        <v>229755.92</v>
      </c>
    </row>
    <row r="53" ht="15.75" customHeight="1">
      <c r="A53" s="2" t="s">
        <v>10</v>
      </c>
      <c r="B53" s="5" t="s">
        <v>32</v>
      </c>
      <c r="C53" s="2" t="s">
        <v>9</v>
      </c>
      <c r="D53" s="2">
        <v>1165.0</v>
      </c>
      <c r="E53" s="2">
        <v>4997.03</v>
      </c>
      <c r="F53" s="2">
        <v>5821541.0</v>
      </c>
      <c r="G53" s="2">
        <v>1018.0</v>
      </c>
      <c r="H53" s="6">
        <f t="shared" si="1"/>
        <v>2998.218</v>
      </c>
      <c r="I53" s="6">
        <f t="shared" si="2"/>
        <v>2328615.98</v>
      </c>
      <c r="J53" s="6">
        <f t="shared" si="3"/>
        <v>1165</v>
      </c>
      <c r="K53" s="6">
        <f t="shared" si="4"/>
        <v>4997.03</v>
      </c>
      <c r="L53" s="6">
        <f t="shared" si="5"/>
        <v>5821539.95</v>
      </c>
      <c r="M53" s="6">
        <f t="shared" si="6"/>
        <v>2328615.98</v>
      </c>
    </row>
    <row r="54" ht="15.75" customHeight="1">
      <c r="A54" s="2" t="s">
        <v>13</v>
      </c>
      <c r="B54" s="5" t="s">
        <v>14</v>
      </c>
      <c r="C54" s="2" t="s">
        <v>21</v>
      </c>
      <c r="D54" s="2">
        <v>131.0</v>
      </c>
      <c r="E54" s="2">
        <v>20581.82</v>
      </c>
      <c r="F54" s="2">
        <v>2696219.0</v>
      </c>
      <c r="G54" s="2">
        <v>100.0</v>
      </c>
      <c r="H54" s="6">
        <f t="shared" si="1"/>
        <v>12349.092</v>
      </c>
      <c r="I54" s="6">
        <f t="shared" si="2"/>
        <v>1078487.368</v>
      </c>
      <c r="J54" s="6">
        <f t="shared" si="3"/>
        <v>131</v>
      </c>
      <c r="K54" s="6">
        <f t="shared" si="4"/>
        <v>20581.82</v>
      </c>
      <c r="L54" s="6">
        <f t="shared" si="5"/>
        <v>2696218.42</v>
      </c>
      <c r="M54" s="6">
        <f t="shared" si="6"/>
        <v>1078487.368</v>
      </c>
    </row>
    <row r="55" ht="15.75" customHeight="1">
      <c r="A55" s="2" t="s">
        <v>30</v>
      </c>
      <c r="B55" s="5" t="s">
        <v>32</v>
      </c>
      <c r="C55" s="2" t="s">
        <v>21</v>
      </c>
      <c r="D55" s="2">
        <v>116.0</v>
      </c>
      <c r="E55" s="2">
        <v>22611.68</v>
      </c>
      <c r="F55" s="2">
        <v>2622955.0</v>
      </c>
      <c r="G55" s="2">
        <v>105.0</v>
      </c>
      <c r="H55" s="6">
        <f t="shared" si="1"/>
        <v>13567.008</v>
      </c>
      <c r="I55" s="6">
        <f t="shared" si="2"/>
        <v>1049181.952</v>
      </c>
      <c r="J55" s="6">
        <f t="shared" si="3"/>
        <v>116</v>
      </c>
      <c r="K55" s="6">
        <f t="shared" si="4"/>
        <v>22611.68</v>
      </c>
      <c r="L55" s="6">
        <f t="shared" si="5"/>
        <v>2622954.88</v>
      </c>
      <c r="M55" s="6">
        <f t="shared" si="6"/>
        <v>1049181.952</v>
      </c>
    </row>
    <row r="56" ht="15.75" customHeight="1">
      <c r="A56" s="2" t="s">
        <v>24</v>
      </c>
      <c r="B56" s="5" t="s">
        <v>29</v>
      </c>
      <c r="C56" s="2" t="s">
        <v>21</v>
      </c>
      <c r="D56" s="2">
        <v>138.0</v>
      </c>
      <c r="E56" s="2">
        <v>22224.1</v>
      </c>
      <c r="F56" s="2">
        <v>3066925.0</v>
      </c>
      <c r="G56" s="2">
        <v>124.0</v>
      </c>
      <c r="H56" s="6">
        <f t="shared" si="1"/>
        <v>13334.46</v>
      </c>
      <c r="I56" s="6">
        <f t="shared" si="2"/>
        <v>1226770.32</v>
      </c>
      <c r="J56" s="6">
        <f t="shared" si="3"/>
        <v>138</v>
      </c>
      <c r="K56" s="6">
        <f t="shared" si="4"/>
        <v>22224.1</v>
      </c>
      <c r="L56" s="6">
        <f t="shared" si="5"/>
        <v>3066925.8</v>
      </c>
      <c r="M56" s="6">
        <f t="shared" si="6"/>
        <v>1226770.32</v>
      </c>
    </row>
    <row r="57" ht="15.75" customHeight="1">
      <c r="A57" s="2" t="s">
        <v>24</v>
      </c>
      <c r="B57" s="5" t="s">
        <v>14</v>
      </c>
      <c r="C57" s="2" t="s">
        <v>9</v>
      </c>
      <c r="D57" s="2">
        <v>1105.0</v>
      </c>
      <c r="E57" s="2">
        <v>5179.22</v>
      </c>
      <c r="F57" s="2">
        <v>5723037.0</v>
      </c>
      <c r="G57" s="2">
        <v>774.0</v>
      </c>
      <c r="H57" s="6">
        <f t="shared" si="1"/>
        <v>3107.532</v>
      </c>
      <c r="I57" s="6">
        <f t="shared" si="2"/>
        <v>2289215.24</v>
      </c>
      <c r="J57" s="6">
        <f t="shared" si="3"/>
        <v>1105</v>
      </c>
      <c r="K57" s="6">
        <f t="shared" si="4"/>
        <v>5179.22</v>
      </c>
      <c r="L57" s="6">
        <f t="shared" si="5"/>
        <v>5723038.1</v>
      </c>
      <c r="M57" s="6">
        <f t="shared" si="6"/>
        <v>2289215.24</v>
      </c>
    </row>
    <row r="58" ht="15.75" customHeight="1">
      <c r="A58" s="2" t="s">
        <v>19</v>
      </c>
      <c r="B58" s="5" t="s">
        <v>8</v>
      </c>
      <c r="C58" s="2" t="s">
        <v>9</v>
      </c>
      <c r="D58" s="2">
        <v>1111.0</v>
      </c>
      <c r="E58" s="2">
        <v>5188.81</v>
      </c>
      <c r="F58" s="2">
        <v>5764769.0</v>
      </c>
      <c r="G58" s="2">
        <v>1023.0</v>
      </c>
      <c r="H58" s="6">
        <f t="shared" si="1"/>
        <v>3113.286</v>
      </c>
      <c r="I58" s="6">
        <f t="shared" si="2"/>
        <v>2305907.164</v>
      </c>
      <c r="J58" s="6">
        <f t="shared" si="3"/>
        <v>1111</v>
      </c>
      <c r="K58" s="6">
        <f t="shared" si="4"/>
        <v>5188.81</v>
      </c>
      <c r="L58" s="6">
        <f t="shared" si="5"/>
        <v>5764767.91</v>
      </c>
      <c r="M58" s="6">
        <f t="shared" si="6"/>
        <v>2305907.164</v>
      </c>
    </row>
    <row r="59" ht="15.75" customHeight="1">
      <c r="A59" s="2" t="s">
        <v>15</v>
      </c>
      <c r="B59" s="5" t="s">
        <v>32</v>
      </c>
      <c r="C59" s="2" t="s">
        <v>27</v>
      </c>
      <c r="D59" s="2">
        <v>1126.0</v>
      </c>
      <c r="E59" s="2">
        <v>1187.23</v>
      </c>
      <c r="F59" s="2">
        <v>1336817.0</v>
      </c>
      <c r="G59" s="2">
        <v>977.0</v>
      </c>
      <c r="H59" s="6">
        <f t="shared" si="1"/>
        <v>712.338</v>
      </c>
      <c r="I59" s="6">
        <f t="shared" si="2"/>
        <v>534728.392</v>
      </c>
      <c r="J59" s="6">
        <f t="shared" si="3"/>
        <v>1126</v>
      </c>
      <c r="K59" s="6">
        <f t="shared" si="4"/>
        <v>1187.23</v>
      </c>
      <c r="L59" s="6">
        <f t="shared" si="5"/>
        <v>1336820.98</v>
      </c>
      <c r="M59" s="6">
        <f t="shared" si="6"/>
        <v>534728.392</v>
      </c>
    </row>
    <row r="60" ht="15.75" customHeight="1">
      <c r="A60" s="2" t="s">
        <v>10</v>
      </c>
      <c r="B60" s="5" t="s">
        <v>25</v>
      </c>
      <c r="C60" s="2" t="s">
        <v>21</v>
      </c>
      <c r="D60" s="2">
        <v>162.0</v>
      </c>
      <c r="E60" s="2">
        <v>21169.79</v>
      </c>
      <c r="F60" s="2">
        <v>3429506.0</v>
      </c>
      <c r="G60" s="2">
        <v>114.0</v>
      </c>
      <c r="H60" s="6">
        <f t="shared" si="1"/>
        <v>12701.874</v>
      </c>
      <c r="I60" s="6">
        <f t="shared" si="2"/>
        <v>1371802.392</v>
      </c>
      <c r="J60" s="6">
        <f t="shared" si="3"/>
        <v>162</v>
      </c>
      <c r="K60" s="6">
        <f t="shared" si="4"/>
        <v>21169.79</v>
      </c>
      <c r="L60" s="6">
        <f t="shared" si="5"/>
        <v>3429505.98</v>
      </c>
      <c r="M60" s="6">
        <f t="shared" si="6"/>
        <v>1371802.392</v>
      </c>
    </row>
    <row r="61" ht="15.75" customHeight="1">
      <c r="A61" s="2" t="s">
        <v>17</v>
      </c>
      <c r="B61" s="5" t="s">
        <v>29</v>
      </c>
      <c r="C61" s="2" t="s">
        <v>27</v>
      </c>
      <c r="D61" s="2">
        <v>1012.0</v>
      </c>
      <c r="E61" s="2">
        <v>1259.56</v>
      </c>
      <c r="F61" s="2">
        <v>1274679.0</v>
      </c>
      <c r="G61" s="2">
        <v>840.0</v>
      </c>
      <c r="H61" s="6">
        <f t="shared" si="1"/>
        <v>755.736</v>
      </c>
      <c r="I61" s="6">
        <f t="shared" si="2"/>
        <v>509869.888</v>
      </c>
      <c r="J61" s="6">
        <f t="shared" si="3"/>
        <v>1012</v>
      </c>
      <c r="K61" s="6">
        <f t="shared" si="4"/>
        <v>1259.56</v>
      </c>
      <c r="L61" s="6">
        <f t="shared" si="5"/>
        <v>1274674.72</v>
      </c>
      <c r="M61" s="6">
        <f t="shared" si="6"/>
        <v>509869.888</v>
      </c>
    </row>
    <row r="62" ht="15.75" customHeight="1">
      <c r="A62" s="2" t="s">
        <v>26</v>
      </c>
      <c r="B62" s="5" t="s">
        <v>16</v>
      </c>
      <c r="C62" s="2" t="s">
        <v>27</v>
      </c>
      <c r="D62" s="2">
        <v>1019.0</v>
      </c>
      <c r="E62" s="2">
        <v>1126.96</v>
      </c>
      <c r="F62" s="2">
        <v>1148376.0</v>
      </c>
      <c r="G62" s="2">
        <v>726.0</v>
      </c>
      <c r="H62" s="6">
        <f t="shared" si="1"/>
        <v>676.176</v>
      </c>
      <c r="I62" s="6">
        <f t="shared" si="2"/>
        <v>459348.896</v>
      </c>
      <c r="J62" s="6">
        <f t="shared" si="3"/>
        <v>1019</v>
      </c>
      <c r="K62" s="6">
        <f t="shared" si="4"/>
        <v>1126.96</v>
      </c>
      <c r="L62" s="6">
        <f t="shared" si="5"/>
        <v>1148372.24</v>
      </c>
      <c r="M62" s="6">
        <f t="shared" si="6"/>
        <v>459348.896</v>
      </c>
    </row>
    <row r="63" ht="15.75" customHeight="1">
      <c r="A63" s="2" t="s">
        <v>19</v>
      </c>
      <c r="B63" s="5" t="s">
        <v>28</v>
      </c>
      <c r="C63" s="2" t="s">
        <v>12</v>
      </c>
      <c r="D63" s="2">
        <v>343.0</v>
      </c>
      <c r="E63" s="2">
        <v>6764.94</v>
      </c>
      <c r="F63" s="2">
        <v>2320374.0</v>
      </c>
      <c r="G63" s="2">
        <v>323.0</v>
      </c>
      <c r="H63" s="6">
        <f t="shared" si="1"/>
        <v>4058.964</v>
      </c>
      <c r="I63" s="6">
        <f t="shared" si="2"/>
        <v>928149.768</v>
      </c>
      <c r="J63" s="6">
        <f t="shared" si="3"/>
        <v>343</v>
      </c>
      <c r="K63" s="6">
        <f t="shared" si="4"/>
        <v>6764.94</v>
      </c>
      <c r="L63" s="6">
        <f t="shared" si="5"/>
        <v>2320374.42</v>
      </c>
      <c r="M63" s="6">
        <f t="shared" si="6"/>
        <v>928149.768</v>
      </c>
    </row>
    <row r="64" ht="15.75" customHeight="1">
      <c r="A64" s="2" t="s">
        <v>30</v>
      </c>
      <c r="B64" s="5" t="s">
        <v>28</v>
      </c>
      <c r="C64" s="2" t="s">
        <v>9</v>
      </c>
      <c r="D64" s="2">
        <v>719.0</v>
      </c>
      <c r="E64" s="2">
        <v>5211.1</v>
      </c>
      <c r="F64" s="2">
        <v>3746781.0</v>
      </c>
      <c r="G64" s="2">
        <v>517.0</v>
      </c>
      <c r="H64" s="6">
        <f t="shared" si="1"/>
        <v>3126.66</v>
      </c>
      <c r="I64" s="6">
        <f t="shared" si="2"/>
        <v>1498712.36</v>
      </c>
      <c r="J64" s="6">
        <f t="shared" si="3"/>
        <v>719</v>
      </c>
      <c r="K64" s="6">
        <f t="shared" si="4"/>
        <v>4689.99</v>
      </c>
      <c r="L64" s="6">
        <f t="shared" si="5"/>
        <v>3372102.81</v>
      </c>
      <c r="M64" s="6">
        <f t="shared" si="6"/>
        <v>1124034.27</v>
      </c>
    </row>
    <row r="65" ht="15.75" customHeight="1">
      <c r="A65" s="2" t="s">
        <v>26</v>
      </c>
      <c r="B65" s="5" t="s">
        <v>23</v>
      </c>
      <c r="C65" s="2" t="s">
        <v>9</v>
      </c>
      <c r="D65" s="2">
        <v>726.0</v>
      </c>
      <c r="E65" s="2">
        <v>4966.17</v>
      </c>
      <c r="F65" s="2">
        <v>3605442.0</v>
      </c>
      <c r="G65" s="2">
        <v>634.0</v>
      </c>
      <c r="H65" s="6">
        <f t="shared" si="1"/>
        <v>2979.702</v>
      </c>
      <c r="I65" s="6">
        <f t="shared" si="2"/>
        <v>1442175.768</v>
      </c>
      <c r="J65" s="6">
        <f t="shared" si="3"/>
        <v>726</v>
      </c>
      <c r="K65" s="6">
        <f t="shared" si="4"/>
        <v>4966.17</v>
      </c>
      <c r="L65" s="6">
        <f t="shared" si="5"/>
        <v>3605439.42</v>
      </c>
      <c r="M65" s="6">
        <f t="shared" si="6"/>
        <v>1442175.768</v>
      </c>
    </row>
    <row r="66" ht="15.75" customHeight="1">
      <c r="A66" s="2" t="s">
        <v>26</v>
      </c>
      <c r="B66" s="5" t="s">
        <v>31</v>
      </c>
      <c r="C66" s="2" t="s">
        <v>21</v>
      </c>
      <c r="D66" s="2">
        <v>221.0</v>
      </c>
      <c r="E66" s="2">
        <v>21120.04</v>
      </c>
      <c r="F66" s="2">
        <v>4667530.0</v>
      </c>
      <c r="G66" s="2">
        <v>185.0</v>
      </c>
      <c r="H66" s="6">
        <f t="shared" si="1"/>
        <v>12672.024</v>
      </c>
      <c r="I66" s="6">
        <f t="shared" si="2"/>
        <v>1867011.536</v>
      </c>
      <c r="J66" s="6">
        <f t="shared" si="3"/>
        <v>221</v>
      </c>
      <c r="K66" s="6">
        <f t="shared" si="4"/>
        <v>21120.04</v>
      </c>
      <c r="L66" s="6">
        <f t="shared" si="5"/>
        <v>4667528.84</v>
      </c>
      <c r="M66" s="6">
        <f t="shared" si="6"/>
        <v>1867011.536</v>
      </c>
    </row>
    <row r="67" ht="15.75" customHeight="1">
      <c r="A67" s="2" t="s">
        <v>24</v>
      </c>
      <c r="B67" s="5" t="s">
        <v>14</v>
      </c>
      <c r="C67" s="2" t="s">
        <v>9</v>
      </c>
      <c r="D67" s="2">
        <v>871.0</v>
      </c>
      <c r="E67" s="2">
        <v>5169.33</v>
      </c>
      <c r="F67" s="2">
        <v>4502490.0</v>
      </c>
      <c r="G67" s="2">
        <v>722.0</v>
      </c>
      <c r="H67" s="6">
        <f t="shared" si="1"/>
        <v>3101.598</v>
      </c>
      <c r="I67" s="6">
        <f t="shared" si="2"/>
        <v>1800994.572</v>
      </c>
      <c r="J67" s="6">
        <f t="shared" si="3"/>
        <v>871</v>
      </c>
      <c r="K67" s="6">
        <f t="shared" si="4"/>
        <v>5169.33</v>
      </c>
      <c r="L67" s="6">
        <f t="shared" si="5"/>
        <v>4502486.43</v>
      </c>
      <c r="M67" s="6">
        <f t="shared" si="6"/>
        <v>1800994.572</v>
      </c>
    </row>
    <row r="68" ht="15.75" customHeight="1">
      <c r="A68" s="2" t="s">
        <v>26</v>
      </c>
      <c r="B68" s="5" t="s">
        <v>22</v>
      </c>
      <c r="C68" s="2" t="s">
        <v>9</v>
      </c>
      <c r="D68" s="2">
        <v>846.0</v>
      </c>
      <c r="E68" s="2">
        <v>5317.31</v>
      </c>
      <c r="F68" s="2">
        <v>4498447.0</v>
      </c>
      <c r="G68" s="2">
        <v>625.0</v>
      </c>
      <c r="H68" s="6">
        <f t="shared" si="1"/>
        <v>3190.386</v>
      </c>
      <c r="I68" s="6">
        <f t="shared" si="2"/>
        <v>1799377.704</v>
      </c>
      <c r="J68" s="6">
        <f t="shared" si="3"/>
        <v>846</v>
      </c>
      <c r="K68" s="6">
        <f t="shared" si="4"/>
        <v>4785.579</v>
      </c>
      <c r="L68" s="6">
        <f t="shared" si="5"/>
        <v>4048599.834</v>
      </c>
      <c r="M68" s="6">
        <f t="shared" si="6"/>
        <v>1349533.278</v>
      </c>
    </row>
    <row r="69" ht="15.75" customHeight="1">
      <c r="A69" s="2" t="s">
        <v>17</v>
      </c>
      <c r="B69" s="5" t="s">
        <v>25</v>
      </c>
      <c r="C69" s="2" t="s">
        <v>9</v>
      </c>
      <c r="D69" s="2">
        <v>819.0</v>
      </c>
      <c r="E69" s="2">
        <v>5181.42</v>
      </c>
      <c r="F69" s="2">
        <v>4243586.0</v>
      </c>
      <c r="G69" s="2">
        <v>582.0</v>
      </c>
      <c r="H69" s="6">
        <f t="shared" si="1"/>
        <v>3108.852</v>
      </c>
      <c r="I69" s="6">
        <f t="shared" si="2"/>
        <v>1697433.192</v>
      </c>
      <c r="J69" s="6">
        <f t="shared" si="3"/>
        <v>819</v>
      </c>
      <c r="K69" s="6">
        <f t="shared" si="4"/>
        <v>4663.278</v>
      </c>
      <c r="L69" s="6">
        <f t="shared" si="5"/>
        <v>3819224.682</v>
      </c>
      <c r="M69" s="6">
        <f t="shared" si="6"/>
        <v>1273074.894</v>
      </c>
    </row>
    <row r="70" ht="15.75" customHeight="1">
      <c r="A70" s="2" t="s">
        <v>20</v>
      </c>
      <c r="B70" s="5" t="s">
        <v>8</v>
      </c>
      <c r="C70" s="2" t="s">
        <v>9</v>
      </c>
      <c r="D70" s="2">
        <v>803.0</v>
      </c>
      <c r="E70" s="2">
        <v>5190.15</v>
      </c>
      <c r="F70" s="2">
        <v>4167690.0</v>
      </c>
      <c r="G70" s="2">
        <v>655.0</v>
      </c>
      <c r="H70" s="6">
        <f t="shared" si="1"/>
        <v>3114.09</v>
      </c>
      <c r="I70" s="6">
        <f t="shared" si="2"/>
        <v>1667076.18</v>
      </c>
      <c r="J70" s="6">
        <f t="shared" si="3"/>
        <v>803</v>
      </c>
      <c r="K70" s="6">
        <f t="shared" si="4"/>
        <v>5190.15</v>
      </c>
      <c r="L70" s="6">
        <f t="shared" si="5"/>
        <v>4167690.45</v>
      </c>
      <c r="M70" s="6">
        <f t="shared" si="6"/>
        <v>1667076.18</v>
      </c>
    </row>
    <row r="71" ht="15.75" customHeight="1">
      <c r="A71" s="2" t="s">
        <v>26</v>
      </c>
      <c r="B71" s="5" t="s">
        <v>11</v>
      </c>
      <c r="C71" s="2" t="s">
        <v>21</v>
      </c>
      <c r="D71" s="2">
        <v>109.0</v>
      </c>
      <c r="E71" s="2">
        <v>22377.44</v>
      </c>
      <c r="F71" s="2">
        <v>2439141.0</v>
      </c>
      <c r="G71" s="2">
        <v>102.0</v>
      </c>
      <c r="H71" s="6">
        <f t="shared" si="1"/>
        <v>13426.464</v>
      </c>
      <c r="I71" s="6">
        <f t="shared" si="2"/>
        <v>975656.384</v>
      </c>
      <c r="J71" s="6">
        <f t="shared" si="3"/>
        <v>109</v>
      </c>
      <c r="K71" s="6">
        <f t="shared" si="4"/>
        <v>22377.44</v>
      </c>
      <c r="L71" s="6">
        <f t="shared" si="5"/>
        <v>2439140.96</v>
      </c>
      <c r="M71" s="6">
        <f t="shared" si="6"/>
        <v>975656.384</v>
      </c>
    </row>
    <row r="72" ht="15.75" customHeight="1">
      <c r="A72" s="2" t="s">
        <v>19</v>
      </c>
      <c r="B72" s="5" t="s">
        <v>32</v>
      </c>
      <c r="C72" s="2" t="s">
        <v>27</v>
      </c>
      <c r="D72" s="2">
        <v>622.0</v>
      </c>
      <c r="E72" s="2">
        <v>1518.7</v>
      </c>
      <c r="F72" s="2">
        <v>944633.0</v>
      </c>
      <c r="G72" s="2">
        <v>541.0</v>
      </c>
      <c r="H72" s="6">
        <f t="shared" si="1"/>
        <v>911.22</v>
      </c>
      <c r="I72" s="6">
        <f t="shared" si="2"/>
        <v>377852.56</v>
      </c>
      <c r="J72" s="6">
        <f t="shared" si="3"/>
        <v>622</v>
      </c>
      <c r="K72" s="6">
        <f t="shared" si="4"/>
        <v>1518.7</v>
      </c>
      <c r="L72" s="6">
        <f t="shared" si="5"/>
        <v>944631.4</v>
      </c>
      <c r="M72" s="6">
        <f t="shared" si="6"/>
        <v>377852.56</v>
      </c>
    </row>
    <row r="73" ht="15.75" customHeight="1">
      <c r="A73" s="2" t="s">
        <v>13</v>
      </c>
      <c r="B73" s="5" t="s">
        <v>11</v>
      </c>
      <c r="C73" s="2" t="s">
        <v>21</v>
      </c>
      <c r="D73" s="2">
        <v>227.0</v>
      </c>
      <c r="E73" s="2">
        <v>21567.33</v>
      </c>
      <c r="F73" s="2">
        <v>4895784.0</v>
      </c>
      <c r="G73" s="2">
        <v>195.0</v>
      </c>
      <c r="H73" s="6">
        <f t="shared" si="1"/>
        <v>12940.398</v>
      </c>
      <c r="I73" s="6">
        <f t="shared" si="2"/>
        <v>1958313.564</v>
      </c>
      <c r="J73" s="6">
        <f t="shared" si="3"/>
        <v>227</v>
      </c>
      <c r="K73" s="6">
        <f t="shared" si="4"/>
        <v>21567.33</v>
      </c>
      <c r="L73" s="6">
        <f t="shared" si="5"/>
        <v>4895783.91</v>
      </c>
      <c r="M73" s="6">
        <f t="shared" si="6"/>
        <v>1958313.564</v>
      </c>
    </row>
    <row r="74" ht="15.75" customHeight="1">
      <c r="A74" s="2" t="s">
        <v>19</v>
      </c>
      <c r="B74" s="5" t="s">
        <v>14</v>
      </c>
      <c r="C74" s="2" t="s">
        <v>27</v>
      </c>
      <c r="D74" s="2">
        <v>1089.0</v>
      </c>
      <c r="E74" s="2">
        <v>1096.56</v>
      </c>
      <c r="F74" s="2">
        <v>1194154.0</v>
      </c>
      <c r="G74" s="2">
        <v>983.0</v>
      </c>
      <c r="H74" s="6">
        <f t="shared" si="1"/>
        <v>657.936</v>
      </c>
      <c r="I74" s="6">
        <f t="shared" si="2"/>
        <v>477661.536</v>
      </c>
      <c r="J74" s="6">
        <f t="shared" si="3"/>
        <v>1089</v>
      </c>
      <c r="K74" s="6">
        <f t="shared" si="4"/>
        <v>1096.56</v>
      </c>
      <c r="L74" s="6">
        <f t="shared" si="5"/>
        <v>1194153.84</v>
      </c>
      <c r="M74" s="6">
        <f t="shared" si="6"/>
        <v>477661.536</v>
      </c>
    </row>
    <row r="75" ht="15.75" customHeight="1">
      <c r="A75" s="2" t="s">
        <v>26</v>
      </c>
      <c r="B75" s="5" t="s">
        <v>16</v>
      </c>
      <c r="C75" s="2" t="s">
        <v>12</v>
      </c>
      <c r="D75" s="2">
        <v>264.0</v>
      </c>
      <c r="E75" s="2">
        <v>6761.28</v>
      </c>
      <c r="F75" s="2">
        <v>1784979.0</v>
      </c>
      <c r="G75" s="2">
        <v>248.0</v>
      </c>
      <c r="H75" s="6">
        <f t="shared" si="1"/>
        <v>4056.768</v>
      </c>
      <c r="I75" s="6">
        <f t="shared" si="2"/>
        <v>713991.168</v>
      </c>
      <c r="J75" s="6">
        <f t="shared" si="3"/>
        <v>264</v>
      </c>
      <c r="K75" s="6">
        <f t="shared" si="4"/>
        <v>6761.28</v>
      </c>
      <c r="L75" s="6">
        <f t="shared" si="5"/>
        <v>1784977.92</v>
      </c>
      <c r="M75" s="6">
        <f t="shared" si="6"/>
        <v>713991.168</v>
      </c>
    </row>
    <row r="76" ht="15.75" customHeight="1">
      <c r="A76" s="2" t="s">
        <v>30</v>
      </c>
      <c r="B76" s="5" t="s">
        <v>29</v>
      </c>
      <c r="C76" s="2" t="s">
        <v>27</v>
      </c>
      <c r="D76" s="2">
        <v>684.0</v>
      </c>
      <c r="E76" s="2">
        <v>1151.36</v>
      </c>
      <c r="F76" s="2">
        <v>787528.0</v>
      </c>
      <c r="G76" s="2">
        <v>533.0</v>
      </c>
      <c r="H76" s="6">
        <f t="shared" si="1"/>
        <v>690.816</v>
      </c>
      <c r="I76" s="6">
        <f t="shared" si="2"/>
        <v>315012.096</v>
      </c>
      <c r="J76" s="6">
        <f t="shared" si="3"/>
        <v>684</v>
      </c>
      <c r="K76" s="6">
        <f t="shared" si="4"/>
        <v>1151.36</v>
      </c>
      <c r="L76" s="6">
        <f t="shared" si="5"/>
        <v>787530.24</v>
      </c>
      <c r="M76" s="6">
        <f t="shared" si="6"/>
        <v>315012.096</v>
      </c>
    </row>
    <row r="77" ht="15.75" customHeight="1">
      <c r="A77" s="2" t="s">
        <v>30</v>
      </c>
      <c r="B77" s="5" t="s">
        <v>23</v>
      </c>
      <c r="C77" s="2" t="s">
        <v>21</v>
      </c>
      <c r="D77" s="2">
        <v>214.0</v>
      </c>
      <c r="E77" s="2">
        <v>21666.08</v>
      </c>
      <c r="F77" s="2">
        <v>4636541.0</v>
      </c>
      <c r="G77" s="2">
        <v>164.0</v>
      </c>
      <c r="H77" s="6">
        <f t="shared" si="1"/>
        <v>12999.648</v>
      </c>
      <c r="I77" s="6">
        <f t="shared" si="2"/>
        <v>1854616.448</v>
      </c>
      <c r="J77" s="6">
        <f t="shared" si="3"/>
        <v>214</v>
      </c>
      <c r="K77" s="6">
        <f t="shared" si="4"/>
        <v>21666.08</v>
      </c>
      <c r="L77" s="6">
        <f t="shared" si="5"/>
        <v>4636541.12</v>
      </c>
      <c r="M77" s="6">
        <f t="shared" si="6"/>
        <v>1854616.448</v>
      </c>
    </row>
    <row r="78" ht="15.75" customHeight="1">
      <c r="A78" s="2" t="s">
        <v>19</v>
      </c>
      <c r="B78" s="5" t="s">
        <v>23</v>
      </c>
      <c r="C78" s="2" t="s">
        <v>9</v>
      </c>
      <c r="D78" s="2">
        <v>1092.0</v>
      </c>
      <c r="E78" s="2">
        <v>5389.73</v>
      </c>
      <c r="F78" s="2">
        <v>5885585.0</v>
      </c>
      <c r="G78" s="2">
        <v>913.0</v>
      </c>
      <c r="H78" s="6">
        <f t="shared" si="1"/>
        <v>3233.838</v>
      </c>
      <c r="I78" s="6">
        <f t="shared" si="2"/>
        <v>2354234.064</v>
      </c>
      <c r="J78" s="6">
        <f t="shared" si="3"/>
        <v>1092</v>
      </c>
      <c r="K78" s="6">
        <f t="shared" si="4"/>
        <v>5389.73</v>
      </c>
      <c r="L78" s="6">
        <f t="shared" si="5"/>
        <v>5885585.16</v>
      </c>
      <c r="M78" s="6">
        <f t="shared" si="6"/>
        <v>2354234.064</v>
      </c>
    </row>
    <row r="79" ht="15.75" customHeight="1">
      <c r="A79" s="2" t="s">
        <v>26</v>
      </c>
      <c r="B79" s="5" t="s">
        <v>25</v>
      </c>
      <c r="C79" s="2" t="s">
        <v>27</v>
      </c>
      <c r="D79" s="2">
        <v>591.0</v>
      </c>
      <c r="E79" s="2">
        <v>1192.13</v>
      </c>
      <c r="F79" s="2">
        <v>704547.0</v>
      </c>
      <c r="G79" s="2">
        <v>498.0</v>
      </c>
      <c r="H79" s="6">
        <f t="shared" si="1"/>
        <v>715.278</v>
      </c>
      <c r="I79" s="6">
        <f t="shared" si="2"/>
        <v>281819.532</v>
      </c>
      <c r="J79" s="6">
        <f t="shared" si="3"/>
        <v>591</v>
      </c>
      <c r="K79" s="6">
        <f t="shared" si="4"/>
        <v>1192.13</v>
      </c>
      <c r="L79" s="6">
        <f t="shared" si="5"/>
        <v>704548.83</v>
      </c>
      <c r="M79" s="6">
        <f t="shared" si="6"/>
        <v>281819.532</v>
      </c>
    </row>
    <row r="80" ht="15.75" customHeight="1">
      <c r="A80" s="2" t="s">
        <v>10</v>
      </c>
      <c r="B80" s="5" t="s">
        <v>8</v>
      </c>
      <c r="C80" s="2" t="s">
        <v>21</v>
      </c>
      <c r="D80" s="2">
        <v>195.0</v>
      </c>
      <c r="E80" s="2">
        <v>21937.68</v>
      </c>
      <c r="F80" s="2">
        <v>4277847.0</v>
      </c>
      <c r="G80" s="2">
        <v>178.0</v>
      </c>
      <c r="H80" s="6">
        <f t="shared" si="1"/>
        <v>13162.608</v>
      </c>
      <c r="I80" s="6">
        <f t="shared" si="2"/>
        <v>1711139.04</v>
      </c>
      <c r="J80" s="6">
        <f t="shared" si="3"/>
        <v>195</v>
      </c>
      <c r="K80" s="6">
        <f t="shared" si="4"/>
        <v>21937.68</v>
      </c>
      <c r="L80" s="6">
        <f t="shared" si="5"/>
        <v>4277847.6</v>
      </c>
      <c r="M80" s="6">
        <f t="shared" si="6"/>
        <v>1711139.04</v>
      </c>
    </row>
    <row r="81" ht="15.75" customHeight="1">
      <c r="A81" s="2" t="s">
        <v>20</v>
      </c>
      <c r="B81" s="5" t="s">
        <v>11</v>
      </c>
      <c r="C81" s="2" t="s">
        <v>9</v>
      </c>
      <c r="D81" s="2">
        <v>878.0</v>
      </c>
      <c r="E81" s="2">
        <v>5259.56</v>
      </c>
      <c r="F81" s="2">
        <v>4617895.0</v>
      </c>
      <c r="G81" s="2">
        <v>780.0</v>
      </c>
      <c r="H81" s="6">
        <f t="shared" si="1"/>
        <v>3155.736</v>
      </c>
      <c r="I81" s="6">
        <f t="shared" si="2"/>
        <v>1847157.472</v>
      </c>
      <c r="J81" s="6">
        <f t="shared" si="3"/>
        <v>878</v>
      </c>
      <c r="K81" s="6">
        <f t="shared" si="4"/>
        <v>5259.56</v>
      </c>
      <c r="L81" s="6">
        <f t="shared" si="5"/>
        <v>4617893.68</v>
      </c>
      <c r="M81" s="6">
        <f t="shared" si="6"/>
        <v>1847157.472</v>
      </c>
    </row>
    <row r="82" ht="15.75" customHeight="1">
      <c r="A82" s="2" t="s">
        <v>24</v>
      </c>
      <c r="B82" s="5" t="s">
        <v>31</v>
      </c>
      <c r="C82" s="2" t="s">
        <v>9</v>
      </c>
      <c r="D82" s="2">
        <v>661.0</v>
      </c>
      <c r="E82" s="2">
        <v>4808.68</v>
      </c>
      <c r="F82" s="2">
        <v>3178538.0</v>
      </c>
      <c r="G82" s="2">
        <v>511.0</v>
      </c>
      <c r="H82" s="6">
        <f t="shared" si="1"/>
        <v>2885.208</v>
      </c>
      <c r="I82" s="6">
        <f t="shared" si="2"/>
        <v>1271414.992</v>
      </c>
      <c r="J82" s="6">
        <f t="shared" si="3"/>
        <v>661</v>
      </c>
      <c r="K82" s="6">
        <f t="shared" si="4"/>
        <v>4808.68</v>
      </c>
      <c r="L82" s="6">
        <f t="shared" si="5"/>
        <v>3178537.48</v>
      </c>
      <c r="M82" s="6">
        <f t="shared" si="6"/>
        <v>1271414.992</v>
      </c>
    </row>
    <row r="83" ht="15.75" customHeight="1">
      <c r="A83" s="2" t="s">
        <v>10</v>
      </c>
      <c r="B83" s="5" t="s">
        <v>31</v>
      </c>
      <c r="C83" s="2" t="s">
        <v>27</v>
      </c>
      <c r="D83" s="2">
        <v>795.0</v>
      </c>
      <c r="E83" s="2">
        <v>1192.35</v>
      </c>
      <c r="F83" s="2">
        <v>947916.0</v>
      </c>
      <c r="G83" s="2">
        <v>747.0</v>
      </c>
      <c r="H83" s="6">
        <f t="shared" si="1"/>
        <v>715.41</v>
      </c>
      <c r="I83" s="6">
        <f t="shared" si="2"/>
        <v>379167.3</v>
      </c>
      <c r="J83" s="6">
        <f t="shared" si="3"/>
        <v>795</v>
      </c>
      <c r="K83" s="6">
        <f t="shared" si="4"/>
        <v>1192.35</v>
      </c>
      <c r="L83" s="6">
        <f t="shared" si="5"/>
        <v>947918.25</v>
      </c>
      <c r="M83" s="6">
        <f t="shared" si="6"/>
        <v>379167.3</v>
      </c>
    </row>
    <row r="84" ht="15.75" customHeight="1">
      <c r="A84" s="2" t="s">
        <v>10</v>
      </c>
      <c r="B84" s="5" t="s">
        <v>16</v>
      </c>
      <c r="C84" s="2" t="s">
        <v>9</v>
      </c>
      <c r="D84" s="2">
        <v>1054.0</v>
      </c>
      <c r="E84" s="2">
        <v>5320.71</v>
      </c>
      <c r="F84" s="2">
        <v>5608032.0</v>
      </c>
      <c r="G84" s="2">
        <v>864.0</v>
      </c>
      <c r="H84" s="6">
        <f t="shared" si="1"/>
        <v>3192.426</v>
      </c>
      <c r="I84" s="6">
        <f t="shared" si="2"/>
        <v>2243211.336</v>
      </c>
      <c r="J84" s="6">
        <f t="shared" si="3"/>
        <v>1054</v>
      </c>
      <c r="K84" s="6">
        <f t="shared" si="4"/>
        <v>5320.71</v>
      </c>
      <c r="L84" s="6">
        <f t="shared" si="5"/>
        <v>5608028.34</v>
      </c>
      <c r="M84" s="6">
        <f t="shared" si="6"/>
        <v>2243211.336</v>
      </c>
    </row>
    <row r="85" ht="15.75" customHeight="1">
      <c r="A85" s="2" t="s">
        <v>30</v>
      </c>
      <c r="B85" s="5" t="s">
        <v>18</v>
      </c>
      <c r="C85" s="2" t="s">
        <v>9</v>
      </c>
      <c r="D85" s="2">
        <v>698.0</v>
      </c>
      <c r="E85" s="2">
        <v>5353.53</v>
      </c>
      <c r="F85" s="2">
        <v>3736762.0</v>
      </c>
      <c r="G85" s="2">
        <v>593.0</v>
      </c>
      <c r="H85" s="6">
        <f t="shared" si="1"/>
        <v>3212.118</v>
      </c>
      <c r="I85" s="6">
        <f t="shared" si="2"/>
        <v>1494705.576</v>
      </c>
      <c r="J85" s="6">
        <f t="shared" si="3"/>
        <v>698</v>
      </c>
      <c r="K85" s="6">
        <f t="shared" si="4"/>
        <v>5353.53</v>
      </c>
      <c r="L85" s="6">
        <f t="shared" si="5"/>
        <v>3736763.94</v>
      </c>
      <c r="M85" s="6">
        <f t="shared" si="6"/>
        <v>1494705.576</v>
      </c>
    </row>
    <row r="86" ht="15.75" customHeight="1">
      <c r="A86" s="2" t="s">
        <v>19</v>
      </c>
      <c r="B86" s="5" t="s">
        <v>29</v>
      </c>
      <c r="C86" s="2" t="s">
        <v>9</v>
      </c>
      <c r="D86" s="2">
        <v>1083.0</v>
      </c>
      <c r="E86" s="2">
        <v>5662.73</v>
      </c>
      <c r="F86" s="2">
        <v>6132740.0</v>
      </c>
      <c r="G86" s="2">
        <v>1020.0</v>
      </c>
      <c r="H86" s="6">
        <f t="shared" si="1"/>
        <v>3397.638</v>
      </c>
      <c r="I86" s="6">
        <f t="shared" si="2"/>
        <v>2453094.636</v>
      </c>
      <c r="J86" s="6">
        <f t="shared" si="3"/>
        <v>1083</v>
      </c>
      <c r="K86" s="6">
        <f t="shared" si="4"/>
        <v>5662.73</v>
      </c>
      <c r="L86" s="6">
        <f t="shared" si="5"/>
        <v>6132736.59</v>
      </c>
      <c r="M86" s="6">
        <f t="shared" si="6"/>
        <v>2453094.636</v>
      </c>
    </row>
    <row r="87" ht="15.75" customHeight="1">
      <c r="A87" s="2" t="s">
        <v>24</v>
      </c>
      <c r="B87" s="5" t="s">
        <v>23</v>
      </c>
      <c r="C87" s="2" t="s">
        <v>21</v>
      </c>
      <c r="D87" s="2">
        <v>244.0</v>
      </c>
      <c r="E87" s="2">
        <v>21823.67</v>
      </c>
      <c r="F87" s="2">
        <v>5324975.0</v>
      </c>
      <c r="G87" s="2">
        <v>176.0</v>
      </c>
      <c r="H87" s="6">
        <f t="shared" si="1"/>
        <v>13094.202</v>
      </c>
      <c r="I87" s="6">
        <f t="shared" si="2"/>
        <v>2129990.192</v>
      </c>
      <c r="J87" s="6">
        <f t="shared" si="3"/>
        <v>244</v>
      </c>
      <c r="K87" s="6">
        <f t="shared" si="4"/>
        <v>21823.67</v>
      </c>
      <c r="L87" s="6">
        <f t="shared" si="5"/>
        <v>5324975.48</v>
      </c>
      <c r="M87" s="6">
        <f t="shared" si="6"/>
        <v>2129990.192</v>
      </c>
    </row>
    <row r="88" ht="15.75" customHeight="1">
      <c r="A88" s="2" t="s">
        <v>7</v>
      </c>
      <c r="B88" s="5" t="s">
        <v>14</v>
      </c>
      <c r="C88" s="2" t="s">
        <v>21</v>
      </c>
      <c r="D88" s="2">
        <v>236.0</v>
      </c>
      <c r="E88" s="2">
        <v>21947.29</v>
      </c>
      <c r="F88" s="2">
        <v>5179560.0</v>
      </c>
      <c r="G88" s="2">
        <v>169.0</v>
      </c>
      <c r="H88" s="6">
        <f t="shared" si="1"/>
        <v>13168.374</v>
      </c>
      <c r="I88" s="6">
        <f t="shared" si="2"/>
        <v>2071824.176</v>
      </c>
      <c r="J88" s="6">
        <f t="shared" si="3"/>
        <v>236</v>
      </c>
      <c r="K88" s="6">
        <f t="shared" si="4"/>
        <v>21947.29</v>
      </c>
      <c r="L88" s="6">
        <f t="shared" si="5"/>
        <v>5179560.44</v>
      </c>
      <c r="M88" s="6">
        <f t="shared" si="6"/>
        <v>2071824.176</v>
      </c>
    </row>
    <row r="89" ht="15.75" customHeight="1">
      <c r="A89" s="2" t="s">
        <v>26</v>
      </c>
      <c r="B89" s="5" t="s">
        <v>22</v>
      </c>
      <c r="C89" s="2" t="s">
        <v>12</v>
      </c>
      <c r="D89" s="2">
        <v>335.0</v>
      </c>
      <c r="E89" s="2">
        <v>6961.76</v>
      </c>
      <c r="F89" s="2">
        <v>2332190.0</v>
      </c>
      <c r="G89" s="2">
        <v>265.0</v>
      </c>
      <c r="H89" s="6">
        <f t="shared" si="1"/>
        <v>4177.056</v>
      </c>
      <c r="I89" s="6">
        <f t="shared" si="2"/>
        <v>932875.84</v>
      </c>
      <c r="J89" s="6">
        <f t="shared" si="3"/>
        <v>335</v>
      </c>
      <c r="K89" s="6">
        <f t="shared" si="4"/>
        <v>6961.76</v>
      </c>
      <c r="L89" s="6">
        <f t="shared" si="5"/>
        <v>2332189.6</v>
      </c>
      <c r="M89" s="6">
        <f t="shared" si="6"/>
        <v>932875.84</v>
      </c>
    </row>
    <row r="90" ht="15.75" customHeight="1">
      <c r="A90" s="2" t="s">
        <v>20</v>
      </c>
      <c r="B90" s="5" t="s">
        <v>22</v>
      </c>
      <c r="C90" s="2" t="s">
        <v>27</v>
      </c>
      <c r="D90" s="2">
        <v>1056.0</v>
      </c>
      <c r="E90" s="2">
        <v>1133.58</v>
      </c>
      <c r="F90" s="2">
        <v>1197058.0</v>
      </c>
      <c r="G90" s="2">
        <v>761.0</v>
      </c>
      <c r="H90" s="6">
        <f t="shared" si="1"/>
        <v>680.148</v>
      </c>
      <c r="I90" s="6">
        <f t="shared" si="2"/>
        <v>478824.192</v>
      </c>
      <c r="J90" s="6">
        <f t="shared" si="3"/>
        <v>1056</v>
      </c>
      <c r="K90" s="6">
        <f t="shared" si="4"/>
        <v>1133.58</v>
      </c>
      <c r="L90" s="6">
        <f t="shared" si="5"/>
        <v>1197060.48</v>
      </c>
      <c r="M90" s="6">
        <f t="shared" si="6"/>
        <v>478824.192</v>
      </c>
    </row>
    <row r="91" ht="15.75" customHeight="1">
      <c r="A91" s="2" t="s">
        <v>17</v>
      </c>
      <c r="B91" s="5" t="s">
        <v>11</v>
      </c>
      <c r="C91" s="2" t="s">
        <v>12</v>
      </c>
      <c r="D91" s="2">
        <v>401.0</v>
      </c>
      <c r="E91" s="2">
        <v>7108.03</v>
      </c>
      <c r="F91" s="2">
        <v>2850321.0</v>
      </c>
      <c r="G91" s="2">
        <v>371.0</v>
      </c>
      <c r="H91" s="6">
        <f t="shared" si="1"/>
        <v>4264.818</v>
      </c>
      <c r="I91" s="6">
        <f t="shared" si="2"/>
        <v>1140128.012</v>
      </c>
      <c r="J91" s="6">
        <f t="shared" si="3"/>
        <v>401</v>
      </c>
      <c r="K91" s="6">
        <f t="shared" si="4"/>
        <v>7108.03</v>
      </c>
      <c r="L91" s="6">
        <f t="shared" si="5"/>
        <v>2850320.03</v>
      </c>
      <c r="M91" s="6">
        <f t="shared" si="6"/>
        <v>1140128.012</v>
      </c>
    </row>
    <row r="92" ht="15.75" customHeight="1">
      <c r="A92" s="2" t="s">
        <v>7</v>
      </c>
      <c r="B92" s="5" t="s">
        <v>28</v>
      </c>
      <c r="C92" s="2" t="s">
        <v>9</v>
      </c>
      <c r="D92" s="2">
        <v>819.0</v>
      </c>
      <c r="E92" s="2">
        <v>5618.03</v>
      </c>
      <c r="F92" s="2">
        <v>4601168.0</v>
      </c>
      <c r="G92" s="2">
        <v>730.0</v>
      </c>
      <c r="H92" s="6">
        <f t="shared" si="1"/>
        <v>3370.818</v>
      </c>
      <c r="I92" s="6">
        <f t="shared" si="2"/>
        <v>1840466.628</v>
      </c>
      <c r="J92" s="6">
        <f t="shared" si="3"/>
        <v>819</v>
      </c>
      <c r="K92" s="6">
        <f t="shared" si="4"/>
        <v>5056.227</v>
      </c>
      <c r="L92" s="6">
        <f t="shared" si="5"/>
        <v>4141049.913</v>
      </c>
      <c r="M92" s="6">
        <f t="shared" si="6"/>
        <v>1380349.971</v>
      </c>
    </row>
    <row r="93" ht="15.75" customHeight="1">
      <c r="A93" s="2" t="s">
        <v>24</v>
      </c>
      <c r="B93" s="5" t="s">
        <v>11</v>
      </c>
      <c r="C93" s="2" t="s">
        <v>9</v>
      </c>
      <c r="D93" s="2">
        <v>986.0</v>
      </c>
      <c r="E93" s="2">
        <v>5394.33</v>
      </c>
      <c r="F93" s="2">
        <v>5318808.0</v>
      </c>
      <c r="G93" s="2">
        <v>834.0</v>
      </c>
      <c r="H93" s="6">
        <f t="shared" si="1"/>
        <v>3236.598</v>
      </c>
      <c r="I93" s="6">
        <f t="shared" si="2"/>
        <v>2127523.752</v>
      </c>
      <c r="J93" s="6">
        <f t="shared" si="3"/>
        <v>986</v>
      </c>
      <c r="K93" s="6">
        <f t="shared" si="4"/>
        <v>5394.33</v>
      </c>
      <c r="L93" s="6">
        <f t="shared" si="5"/>
        <v>5318809.38</v>
      </c>
      <c r="M93" s="6">
        <f t="shared" si="6"/>
        <v>2127523.752</v>
      </c>
    </row>
    <row r="94" ht="15.75" customHeight="1">
      <c r="A94" s="2" t="s">
        <v>24</v>
      </c>
      <c r="B94" s="5" t="s">
        <v>16</v>
      </c>
      <c r="C94" s="2" t="s">
        <v>9</v>
      </c>
      <c r="D94" s="2">
        <v>1008.0</v>
      </c>
      <c r="E94" s="2">
        <v>5231.36</v>
      </c>
      <c r="F94" s="2">
        <v>5273211.0</v>
      </c>
      <c r="G94" s="2">
        <v>948.0</v>
      </c>
      <c r="H94" s="6">
        <f t="shared" si="1"/>
        <v>3138.816</v>
      </c>
      <c r="I94" s="6">
        <f t="shared" si="2"/>
        <v>2109284.352</v>
      </c>
      <c r="J94" s="6">
        <f t="shared" si="3"/>
        <v>1008</v>
      </c>
      <c r="K94" s="6">
        <f t="shared" si="4"/>
        <v>5231.36</v>
      </c>
      <c r="L94" s="6">
        <f t="shared" si="5"/>
        <v>5273210.88</v>
      </c>
      <c r="M94" s="6">
        <f t="shared" si="6"/>
        <v>2109284.352</v>
      </c>
    </row>
    <row r="95" ht="15.75" customHeight="1">
      <c r="A95" s="2" t="s">
        <v>26</v>
      </c>
      <c r="B95" s="5" t="s">
        <v>22</v>
      </c>
      <c r="C95" s="2" t="s">
        <v>9</v>
      </c>
      <c r="D95" s="2">
        <v>802.0</v>
      </c>
      <c r="E95" s="2">
        <v>5391.54</v>
      </c>
      <c r="F95" s="2">
        <v>4324011.0</v>
      </c>
      <c r="G95" s="2">
        <v>745.0</v>
      </c>
      <c r="H95" s="6">
        <f t="shared" si="1"/>
        <v>3234.924</v>
      </c>
      <c r="I95" s="6">
        <f t="shared" si="2"/>
        <v>1729606.032</v>
      </c>
      <c r="J95" s="6">
        <f t="shared" si="3"/>
        <v>802</v>
      </c>
      <c r="K95" s="6">
        <f t="shared" si="4"/>
        <v>4852.386</v>
      </c>
      <c r="L95" s="6">
        <f t="shared" si="5"/>
        <v>3891613.572</v>
      </c>
      <c r="M95" s="6">
        <f t="shared" si="6"/>
        <v>1297204.524</v>
      </c>
    </row>
    <row r="96" ht="15.75" customHeight="1">
      <c r="A96" s="2" t="s">
        <v>19</v>
      </c>
      <c r="B96" s="5" t="s">
        <v>28</v>
      </c>
      <c r="C96" s="2" t="s">
        <v>12</v>
      </c>
      <c r="D96" s="2">
        <v>219.0</v>
      </c>
      <c r="E96" s="2">
        <v>6489.46</v>
      </c>
      <c r="F96" s="2">
        <v>1421191.0</v>
      </c>
      <c r="G96" s="2">
        <v>207.0</v>
      </c>
      <c r="H96" s="6">
        <f t="shared" si="1"/>
        <v>3893.676</v>
      </c>
      <c r="I96" s="6">
        <f t="shared" si="2"/>
        <v>568476.696</v>
      </c>
      <c r="J96" s="6">
        <f t="shared" si="3"/>
        <v>219</v>
      </c>
      <c r="K96" s="6">
        <f t="shared" si="4"/>
        <v>6489.46</v>
      </c>
      <c r="L96" s="6">
        <f t="shared" si="5"/>
        <v>1421191.74</v>
      </c>
      <c r="M96" s="6">
        <f t="shared" si="6"/>
        <v>568476.696</v>
      </c>
    </row>
    <row r="97" ht="15.75" customHeight="1">
      <c r="A97" s="2" t="s">
        <v>17</v>
      </c>
      <c r="B97" s="5" t="s">
        <v>22</v>
      </c>
      <c r="C97" s="2" t="s">
        <v>12</v>
      </c>
      <c r="D97" s="2">
        <v>343.0</v>
      </c>
      <c r="E97" s="2">
        <v>6409.87</v>
      </c>
      <c r="F97" s="2">
        <v>2198584.0</v>
      </c>
      <c r="G97" s="2">
        <v>303.0</v>
      </c>
      <c r="H97" s="6">
        <f t="shared" si="1"/>
        <v>3845.922</v>
      </c>
      <c r="I97" s="6">
        <f t="shared" si="2"/>
        <v>879434.164</v>
      </c>
      <c r="J97" s="6">
        <f t="shared" si="3"/>
        <v>343</v>
      </c>
      <c r="K97" s="6">
        <f t="shared" si="4"/>
        <v>6409.87</v>
      </c>
      <c r="L97" s="6">
        <f t="shared" si="5"/>
        <v>2198585.41</v>
      </c>
      <c r="M97" s="6">
        <f t="shared" si="6"/>
        <v>879434.164</v>
      </c>
    </row>
    <row r="98" ht="15.75" customHeight="1">
      <c r="A98" s="2" t="s">
        <v>30</v>
      </c>
      <c r="B98" s="5" t="s">
        <v>14</v>
      </c>
      <c r="C98" s="2" t="s">
        <v>21</v>
      </c>
      <c r="D98" s="2">
        <v>216.0</v>
      </c>
      <c r="E98" s="2">
        <v>20828.22</v>
      </c>
      <c r="F98" s="2">
        <v>4498896.0</v>
      </c>
      <c r="G98" s="2">
        <v>176.0</v>
      </c>
      <c r="H98" s="6">
        <f t="shared" si="1"/>
        <v>12496.932</v>
      </c>
      <c r="I98" s="6">
        <f t="shared" si="2"/>
        <v>1799558.208</v>
      </c>
      <c r="J98" s="6">
        <f t="shared" si="3"/>
        <v>216</v>
      </c>
      <c r="K98" s="6">
        <f t="shared" si="4"/>
        <v>20828.22</v>
      </c>
      <c r="L98" s="6">
        <f t="shared" si="5"/>
        <v>4498895.52</v>
      </c>
      <c r="M98" s="6">
        <f t="shared" si="6"/>
        <v>1799558.208</v>
      </c>
    </row>
    <row r="99" ht="15.75" customHeight="1">
      <c r="A99" s="2" t="s">
        <v>30</v>
      </c>
      <c r="B99" s="5" t="s">
        <v>16</v>
      </c>
      <c r="C99" s="2" t="s">
        <v>21</v>
      </c>
      <c r="D99" s="2">
        <v>127.0</v>
      </c>
      <c r="E99" s="2">
        <v>21020.49</v>
      </c>
      <c r="F99" s="2">
        <v>2669602.0</v>
      </c>
      <c r="G99" s="2">
        <v>91.0</v>
      </c>
      <c r="H99" s="6">
        <f t="shared" si="1"/>
        <v>12612.294</v>
      </c>
      <c r="I99" s="6">
        <f t="shared" si="2"/>
        <v>1067840.892</v>
      </c>
      <c r="J99" s="6">
        <f t="shared" si="3"/>
        <v>127</v>
      </c>
      <c r="K99" s="6">
        <f t="shared" si="4"/>
        <v>21020.49</v>
      </c>
      <c r="L99" s="6">
        <f t="shared" si="5"/>
        <v>2669602.23</v>
      </c>
      <c r="M99" s="6">
        <f t="shared" si="6"/>
        <v>1067840.892</v>
      </c>
    </row>
    <row r="100" ht="15.75" customHeight="1">
      <c r="A100" s="2" t="s">
        <v>24</v>
      </c>
      <c r="B100" s="5" t="s">
        <v>8</v>
      </c>
      <c r="C100" s="2" t="s">
        <v>27</v>
      </c>
      <c r="D100" s="2">
        <v>901.0</v>
      </c>
      <c r="E100" s="2">
        <v>1372.77</v>
      </c>
      <c r="F100" s="2">
        <v>1236870.0</v>
      </c>
      <c r="G100" s="2">
        <v>691.0</v>
      </c>
      <c r="H100" s="6">
        <f t="shared" si="1"/>
        <v>823.662</v>
      </c>
      <c r="I100" s="6">
        <f t="shared" si="2"/>
        <v>494746.308</v>
      </c>
      <c r="J100" s="6">
        <f t="shared" si="3"/>
        <v>901</v>
      </c>
      <c r="K100" s="6">
        <f t="shared" si="4"/>
        <v>1372.77</v>
      </c>
      <c r="L100" s="6">
        <f t="shared" si="5"/>
        <v>1236865.77</v>
      </c>
      <c r="M100" s="6">
        <f t="shared" si="6"/>
        <v>494746.308</v>
      </c>
    </row>
    <row r="101" ht="15.75" customHeight="1">
      <c r="A101" s="2" t="s">
        <v>10</v>
      </c>
      <c r="B101" s="5" t="s">
        <v>22</v>
      </c>
      <c r="C101" s="2" t="s">
        <v>21</v>
      </c>
      <c r="D101" s="2">
        <v>214.0</v>
      </c>
      <c r="E101" s="2">
        <v>20305.92</v>
      </c>
      <c r="F101" s="2">
        <v>4345467.0</v>
      </c>
      <c r="G101" s="2">
        <v>188.0</v>
      </c>
      <c r="H101" s="6">
        <f t="shared" si="1"/>
        <v>12183.552</v>
      </c>
      <c r="I101" s="6">
        <f t="shared" si="2"/>
        <v>1738186.752</v>
      </c>
      <c r="J101" s="6">
        <f t="shared" si="3"/>
        <v>214</v>
      </c>
      <c r="K101" s="6">
        <f t="shared" si="4"/>
        <v>20305.92</v>
      </c>
      <c r="L101" s="6">
        <f t="shared" si="5"/>
        <v>4345466.88</v>
      </c>
      <c r="M101" s="6">
        <f t="shared" si="6"/>
        <v>1738186.752</v>
      </c>
    </row>
    <row r="102" ht="15.75" customHeight="1">
      <c r="A102" s="2" t="s">
        <v>24</v>
      </c>
      <c r="B102" s="5" t="s">
        <v>32</v>
      </c>
      <c r="C102" s="2" t="s">
        <v>21</v>
      </c>
      <c r="D102" s="2">
        <v>155.0</v>
      </c>
      <c r="E102" s="2">
        <v>21613.64</v>
      </c>
      <c r="F102" s="2">
        <v>3350114.0</v>
      </c>
      <c r="G102" s="2">
        <v>114.0</v>
      </c>
      <c r="H102" s="6">
        <f t="shared" si="1"/>
        <v>12968.184</v>
      </c>
      <c r="I102" s="6">
        <f t="shared" si="2"/>
        <v>1340045.68</v>
      </c>
      <c r="J102" s="6">
        <f t="shared" si="3"/>
        <v>155</v>
      </c>
      <c r="K102" s="6">
        <f t="shared" si="4"/>
        <v>21613.64</v>
      </c>
      <c r="L102" s="6">
        <f t="shared" si="5"/>
        <v>3350114.2</v>
      </c>
      <c r="M102" s="6">
        <f t="shared" si="6"/>
        <v>1340045.68</v>
      </c>
    </row>
    <row r="103" ht="15.75" customHeight="1">
      <c r="A103" s="2" t="s">
        <v>13</v>
      </c>
      <c r="B103" s="5" t="s">
        <v>31</v>
      </c>
      <c r="C103" s="2" t="s">
        <v>21</v>
      </c>
      <c r="D103" s="2">
        <v>164.0</v>
      </c>
      <c r="E103" s="2">
        <v>22329.73</v>
      </c>
      <c r="F103" s="2">
        <v>3662075.0</v>
      </c>
      <c r="G103" s="2">
        <v>134.0</v>
      </c>
      <c r="H103" s="6">
        <f t="shared" si="1"/>
        <v>13397.838</v>
      </c>
      <c r="I103" s="6">
        <f t="shared" si="2"/>
        <v>1464830.288</v>
      </c>
      <c r="J103" s="6">
        <f t="shared" si="3"/>
        <v>164</v>
      </c>
      <c r="K103" s="6">
        <f t="shared" si="4"/>
        <v>22329.73</v>
      </c>
      <c r="L103" s="6">
        <f t="shared" si="5"/>
        <v>3662075.72</v>
      </c>
      <c r="M103" s="6">
        <f t="shared" si="6"/>
        <v>1464830.288</v>
      </c>
    </row>
    <row r="104" ht="15.75" customHeight="1">
      <c r="A104" s="2" t="s">
        <v>20</v>
      </c>
      <c r="B104" s="5" t="s">
        <v>29</v>
      </c>
      <c r="C104" s="2" t="s">
        <v>9</v>
      </c>
      <c r="D104" s="2">
        <v>881.0</v>
      </c>
      <c r="E104" s="2">
        <v>5368.18</v>
      </c>
      <c r="F104" s="2">
        <v>4729370.0</v>
      </c>
      <c r="G104" s="2">
        <v>802.0</v>
      </c>
      <c r="H104" s="6">
        <f t="shared" si="1"/>
        <v>3220.908</v>
      </c>
      <c r="I104" s="6">
        <f t="shared" si="2"/>
        <v>1891746.632</v>
      </c>
      <c r="J104" s="6">
        <f t="shared" si="3"/>
        <v>881</v>
      </c>
      <c r="K104" s="6">
        <f t="shared" si="4"/>
        <v>5368.18</v>
      </c>
      <c r="L104" s="6">
        <f t="shared" si="5"/>
        <v>4729366.58</v>
      </c>
      <c r="M104" s="6">
        <f t="shared" si="6"/>
        <v>1891746.632</v>
      </c>
    </row>
    <row r="105" ht="15.75" customHeight="1">
      <c r="A105" s="2" t="s">
        <v>20</v>
      </c>
      <c r="B105" s="5" t="s">
        <v>32</v>
      </c>
      <c r="C105" s="2" t="s">
        <v>9</v>
      </c>
      <c r="D105" s="2">
        <v>698.0</v>
      </c>
      <c r="E105" s="2">
        <v>5282.72</v>
      </c>
      <c r="F105" s="2">
        <v>3687337.0</v>
      </c>
      <c r="G105" s="2">
        <v>511.0</v>
      </c>
      <c r="H105" s="6">
        <f t="shared" si="1"/>
        <v>3169.632</v>
      </c>
      <c r="I105" s="6">
        <f t="shared" si="2"/>
        <v>1474935.424</v>
      </c>
      <c r="J105" s="6">
        <f t="shared" si="3"/>
        <v>698</v>
      </c>
      <c r="K105" s="6">
        <f t="shared" si="4"/>
        <v>5282.72</v>
      </c>
      <c r="L105" s="6">
        <f t="shared" si="5"/>
        <v>3687338.56</v>
      </c>
      <c r="M105" s="6">
        <f t="shared" si="6"/>
        <v>1474935.424</v>
      </c>
    </row>
    <row r="106" ht="15.75" customHeight="1">
      <c r="A106" s="2" t="s">
        <v>26</v>
      </c>
      <c r="B106" s="5" t="s">
        <v>11</v>
      </c>
      <c r="C106" s="2" t="s">
        <v>21</v>
      </c>
      <c r="D106" s="2">
        <v>194.0</v>
      </c>
      <c r="E106" s="2">
        <v>21755.63</v>
      </c>
      <c r="F106" s="2">
        <v>4220592.0</v>
      </c>
      <c r="G106" s="2">
        <v>164.0</v>
      </c>
      <c r="H106" s="6">
        <f t="shared" si="1"/>
        <v>13053.378</v>
      </c>
      <c r="I106" s="6">
        <f t="shared" si="2"/>
        <v>1688236.888</v>
      </c>
      <c r="J106" s="6">
        <f t="shared" si="3"/>
        <v>194</v>
      </c>
      <c r="K106" s="6">
        <f t="shared" si="4"/>
        <v>21755.63</v>
      </c>
      <c r="L106" s="6">
        <f t="shared" si="5"/>
        <v>4220592.22</v>
      </c>
      <c r="M106" s="6">
        <f t="shared" si="6"/>
        <v>1688236.888</v>
      </c>
    </row>
    <row r="107" ht="15.75" customHeight="1">
      <c r="A107" s="2" t="s">
        <v>26</v>
      </c>
      <c r="B107" s="5" t="s">
        <v>18</v>
      </c>
      <c r="C107" s="2" t="s">
        <v>21</v>
      </c>
      <c r="D107" s="2">
        <v>182.0</v>
      </c>
      <c r="E107" s="2">
        <v>21654.62</v>
      </c>
      <c r="F107" s="2">
        <v>3941141.0</v>
      </c>
      <c r="G107" s="2">
        <v>138.0</v>
      </c>
      <c r="H107" s="6">
        <f t="shared" si="1"/>
        <v>12992.772</v>
      </c>
      <c r="I107" s="6">
        <f t="shared" si="2"/>
        <v>1576456.336</v>
      </c>
      <c r="J107" s="6">
        <f t="shared" si="3"/>
        <v>182</v>
      </c>
      <c r="K107" s="6">
        <f t="shared" si="4"/>
        <v>21654.62</v>
      </c>
      <c r="L107" s="6">
        <f t="shared" si="5"/>
        <v>3941140.84</v>
      </c>
      <c r="M107" s="6">
        <f t="shared" si="6"/>
        <v>1576456.336</v>
      </c>
    </row>
    <row r="108" ht="15.75" customHeight="1">
      <c r="A108" s="2" t="s">
        <v>24</v>
      </c>
      <c r="B108" s="5" t="s">
        <v>31</v>
      </c>
      <c r="C108" s="2" t="s">
        <v>12</v>
      </c>
      <c r="D108" s="2">
        <v>372.0</v>
      </c>
      <c r="E108" s="2">
        <v>6289.42</v>
      </c>
      <c r="F108" s="2">
        <v>2339665.0</v>
      </c>
      <c r="G108" s="2">
        <v>322.0</v>
      </c>
      <c r="H108" s="6">
        <f t="shared" si="1"/>
        <v>3773.652</v>
      </c>
      <c r="I108" s="6">
        <f t="shared" si="2"/>
        <v>935865.696</v>
      </c>
      <c r="J108" s="6">
        <f t="shared" si="3"/>
        <v>372</v>
      </c>
      <c r="K108" s="6">
        <f t="shared" si="4"/>
        <v>6289.42</v>
      </c>
      <c r="L108" s="6">
        <f t="shared" si="5"/>
        <v>2339664.24</v>
      </c>
      <c r="M108" s="6">
        <f t="shared" si="6"/>
        <v>935865.696</v>
      </c>
    </row>
    <row r="109" ht="15.75" customHeight="1">
      <c r="A109" s="2" t="s">
        <v>15</v>
      </c>
      <c r="B109" s="5" t="s">
        <v>16</v>
      </c>
      <c r="C109" s="2" t="s">
        <v>12</v>
      </c>
      <c r="D109" s="2">
        <v>271.0</v>
      </c>
      <c r="E109" s="2">
        <v>6860.65</v>
      </c>
      <c r="F109" s="2">
        <v>1859235.0</v>
      </c>
      <c r="G109" s="2">
        <v>191.0</v>
      </c>
      <c r="H109" s="6">
        <f t="shared" si="1"/>
        <v>4116.39</v>
      </c>
      <c r="I109" s="6">
        <f t="shared" si="2"/>
        <v>743694.46</v>
      </c>
      <c r="J109" s="6">
        <f t="shared" si="3"/>
        <v>271</v>
      </c>
      <c r="K109" s="6">
        <f t="shared" si="4"/>
        <v>6860.65</v>
      </c>
      <c r="L109" s="6">
        <f t="shared" si="5"/>
        <v>1859236.15</v>
      </c>
      <c r="M109" s="6">
        <f t="shared" si="6"/>
        <v>743694.46</v>
      </c>
    </row>
    <row r="110" ht="15.75" customHeight="1">
      <c r="A110" s="2" t="s">
        <v>30</v>
      </c>
      <c r="B110" s="5" t="s">
        <v>32</v>
      </c>
      <c r="C110" s="2" t="s">
        <v>21</v>
      </c>
      <c r="D110" s="2">
        <v>217.0</v>
      </c>
      <c r="E110" s="2">
        <v>21085.67</v>
      </c>
      <c r="F110" s="2">
        <v>4575590.0</v>
      </c>
      <c r="G110" s="2">
        <v>196.0</v>
      </c>
      <c r="H110" s="6">
        <f t="shared" si="1"/>
        <v>12651.402</v>
      </c>
      <c r="I110" s="6">
        <f t="shared" si="2"/>
        <v>1830236.156</v>
      </c>
      <c r="J110" s="6">
        <f t="shared" si="3"/>
        <v>217</v>
      </c>
      <c r="K110" s="6">
        <f t="shared" si="4"/>
        <v>21085.67</v>
      </c>
      <c r="L110" s="6">
        <f t="shared" si="5"/>
        <v>4575590.39</v>
      </c>
      <c r="M110" s="6">
        <f t="shared" si="6"/>
        <v>1830236.156</v>
      </c>
    </row>
    <row r="111" ht="15.75" customHeight="1">
      <c r="A111" s="2" t="s">
        <v>26</v>
      </c>
      <c r="B111" s="5" t="s">
        <v>29</v>
      </c>
      <c r="C111" s="2" t="s">
        <v>9</v>
      </c>
      <c r="D111" s="2">
        <v>1000.0</v>
      </c>
      <c r="E111" s="2">
        <v>5478.57</v>
      </c>
      <c r="F111" s="2">
        <v>5478565.0</v>
      </c>
      <c r="G111" s="2">
        <v>733.0</v>
      </c>
      <c r="H111" s="6">
        <f t="shared" si="1"/>
        <v>3287.142</v>
      </c>
      <c r="I111" s="6">
        <f t="shared" si="2"/>
        <v>2191428</v>
      </c>
      <c r="J111" s="6">
        <f t="shared" si="3"/>
        <v>1000</v>
      </c>
      <c r="K111" s="6">
        <f t="shared" si="4"/>
        <v>5478.57</v>
      </c>
      <c r="L111" s="6">
        <f t="shared" si="5"/>
        <v>5478570</v>
      </c>
      <c r="M111" s="6">
        <f t="shared" si="6"/>
        <v>2191428</v>
      </c>
    </row>
    <row r="112" ht="15.75" customHeight="1">
      <c r="A112" s="2" t="s">
        <v>7</v>
      </c>
      <c r="B112" s="5" t="s">
        <v>18</v>
      </c>
      <c r="C112" s="2" t="s">
        <v>9</v>
      </c>
      <c r="D112" s="2">
        <v>1177.0</v>
      </c>
      <c r="E112" s="2">
        <v>5340.62</v>
      </c>
      <c r="F112" s="2">
        <v>6285913.0</v>
      </c>
      <c r="G112" s="2">
        <v>1002.0</v>
      </c>
      <c r="H112" s="6">
        <f t="shared" si="1"/>
        <v>3204.372</v>
      </c>
      <c r="I112" s="6">
        <f t="shared" si="2"/>
        <v>2514363.896</v>
      </c>
      <c r="J112" s="6">
        <f t="shared" si="3"/>
        <v>1177</v>
      </c>
      <c r="K112" s="6">
        <f t="shared" si="4"/>
        <v>5340.62</v>
      </c>
      <c r="L112" s="6">
        <f t="shared" si="5"/>
        <v>6285909.74</v>
      </c>
      <c r="M112" s="6">
        <f t="shared" si="6"/>
        <v>2514363.896</v>
      </c>
    </row>
    <row r="113" ht="15.75" customHeight="1">
      <c r="A113" s="2" t="s">
        <v>15</v>
      </c>
      <c r="B113" s="5" t="s">
        <v>29</v>
      </c>
      <c r="C113" s="2" t="s">
        <v>12</v>
      </c>
      <c r="D113" s="2">
        <v>448.0</v>
      </c>
      <c r="E113" s="2">
        <v>6714.87</v>
      </c>
      <c r="F113" s="2">
        <v>3008263.0</v>
      </c>
      <c r="G113" s="2">
        <v>371.0</v>
      </c>
      <c r="H113" s="6">
        <f t="shared" si="1"/>
        <v>4028.922</v>
      </c>
      <c r="I113" s="6">
        <f t="shared" si="2"/>
        <v>1203304.704</v>
      </c>
      <c r="J113" s="6">
        <f t="shared" si="3"/>
        <v>448</v>
      </c>
      <c r="K113" s="6">
        <f t="shared" si="4"/>
        <v>6714.87</v>
      </c>
      <c r="L113" s="6">
        <f t="shared" si="5"/>
        <v>3008261.76</v>
      </c>
      <c r="M113" s="6">
        <f t="shared" si="6"/>
        <v>1203304.704</v>
      </c>
    </row>
    <row r="114" ht="15.75" customHeight="1">
      <c r="A114" s="2" t="s">
        <v>13</v>
      </c>
      <c r="B114" s="5" t="s">
        <v>16</v>
      </c>
      <c r="C114" s="2" t="s">
        <v>21</v>
      </c>
      <c r="D114" s="2">
        <v>205.0</v>
      </c>
      <c r="E114" s="2">
        <v>20137.29</v>
      </c>
      <c r="F114" s="2">
        <v>4128145.0</v>
      </c>
      <c r="G114" s="2">
        <v>167.0</v>
      </c>
      <c r="H114" s="6">
        <f t="shared" si="1"/>
        <v>12082.374</v>
      </c>
      <c r="I114" s="6">
        <f t="shared" si="2"/>
        <v>1651257.78</v>
      </c>
      <c r="J114" s="6">
        <f t="shared" si="3"/>
        <v>205</v>
      </c>
      <c r="K114" s="6">
        <f t="shared" si="4"/>
        <v>20137.29</v>
      </c>
      <c r="L114" s="6">
        <f t="shared" si="5"/>
        <v>4128144.45</v>
      </c>
      <c r="M114" s="6">
        <f t="shared" si="6"/>
        <v>1651257.78</v>
      </c>
    </row>
    <row r="115" ht="15.75" customHeight="1">
      <c r="A115" s="2" t="s">
        <v>15</v>
      </c>
      <c r="B115" s="5" t="s">
        <v>22</v>
      </c>
      <c r="C115" s="2" t="s">
        <v>9</v>
      </c>
      <c r="D115" s="2">
        <v>1049.0</v>
      </c>
      <c r="E115" s="2">
        <v>5288.89</v>
      </c>
      <c r="F115" s="2">
        <v>5548046.0</v>
      </c>
      <c r="G115" s="2">
        <v>820.0</v>
      </c>
      <c r="H115" s="6">
        <f t="shared" si="1"/>
        <v>3173.334</v>
      </c>
      <c r="I115" s="6">
        <f t="shared" si="2"/>
        <v>2219218.244</v>
      </c>
      <c r="J115" s="6">
        <f t="shared" si="3"/>
        <v>1049</v>
      </c>
      <c r="K115" s="6">
        <f t="shared" si="4"/>
        <v>4760.001</v>
      </c>
      <c r="L115" s="6">
        <f t="shared" si="5"/>
        <v>4993241.049</v>
      </c>
      <c r="M115" s="6">
        <f t="shared" si="6"/>
        <v>1664413.683</v>
      </c>
    </row>
    <row r="116" ht="15.75" customHeight="1">
      <c r="A116" s="2" t="s">
        <v>10</v>
      </c>
      <c r="B116" s="5" t="s">
        <v>25</v>
      </c>
      <c r="C116" s="2" t="s">
        <v>12</v>
      </c>
      <c r="D116" s="2">
        <v>382.0</v>
      </c>
      <c r="E116" s="2">
        <v>6170.76</v>
      </c>
      <c r="F116" s="2">
        <v>2357231.0</v>
      </c>
      <c r="G116" s="2">
        <v>334.0</v>
      </c>
      <c r="H116" s="6">
        <f t="shared" si="1"/>
        <v>3702.456</v>
      </c>
      <c r="I116" s="6">
        <f t="shared" si="2"/>
        <v>942892.128</v>
      </c>
      <c r="J116" s="6">
        <f t="shared" si="3"/>
        <v>382</v>
      </c>
      <c r="K116" s="6">
        <f t="shared" si="4"/>
        <v>6170.76</v>
      </c>
      <c r="L116" s="6">
        <f t="shared" si="5"/>
        <v>2357230.32</v>
      </c>
      <c r="M116" s="6">
        <f t="shared" si="6"/>
        <v>942892.128</v>
      </c>
    </row>
    <row r="117" ht="15.75" customHeight="1">
      <c r="A117" s="2" t="s">
        <v>19</v>
      </c>
      <c r="B117" s="5" t="s">
        <v>14</v>
      </c>
      <c r="C117" s="2" t="s">
        <v>27</v>
      </c>
      <c r="D117" s="2">
        <v>1095.0</v>
      </c>
      <c r="E117" s="2">
        <v>1349.99</v>
      </c>
      <c r="F117" s="2">
        <v>1478238.0</v>
      </c>
      <c r="G117" s="2">
        <v>879.0</v>
      </c>
      <c r="H117" s="6">
        <f t="shared" si="1"/>
        <v>809.994</v>
      </c>
      <c r="I117" s="6">
        <f t="shared" si="2"/>
        <v>591295.62</v>
      </c>
      <c r="J117" s="6">
        <f t="shared" si="3"/>
        <v>1095</v>
      </c>
      <c r="K117" s="6">
        <f t="shared" si="4"/>
        <v>1349.99</v>
      </c>
      <c r="L117" s="6">
        <f t="shared" si="5"/>
        <v>1478239.05</v>
      </c>
      <c r="M117" s="6">
        <f t="shared" si="6"/>
        <v>591295.62</v>
      </c>
    </row>
    <row r="118" ht="15.75" customHeight="1">
      <c r="A118" s="2" t="s">
        <v>10</v>
      </c>
      <c r="B118" s="5" t="s">
        <v>29</v>
      </c>
      <c r="C118" s="2" t="s">
        <v>9</v>
      </c>
      <c r="D118" s="2">
        <v>660.0</v>
      </c>
      <c r="E118" s="2">
        <v>5193.95</v>
      </c>
      <c r="F118" s="2">
        <v>3428006.0</v>
      </c>
      <c r="G118" s="2">
        <v>491.0</v>
      </c>
      <c r="H118" s="6">
        <f t="shared" si="1"/>
        <v>3116.37</v>
      </c>
      <c r="I118" s="6">
        <f t="shared" si="2"/>
        <v>1371202.8</v>
      </c>
      <c r="J118" s="6">
        <f t="shared" si="3"/>
        <v>660</v>
      </c>
      <c r="K118" s="6">
        <f t="shared" si="4"/>
        <v>5193.95</v>
      </c>
      <c r="L118" s="6">
        <f t="shared" si="5"/>
        <v>3428007</v>
      </c>
      <c r="M118" s="6">
        <f t="shared" si="6"/>
        <v>1371202.8</v>
      </c>
    </row>
    <row r="119" ht="15.75" customHeight="1">
      <c r="A119" s="2" t="s">
        <v>26</v>
      </c>
      <c r="B119" s="5" t="s">
        <v>22</v>
      </c>
      <c r="C119" s="2" t="s">
        <v>9</v>
      </c>
      <c r="D119" s="2">
        <v>832.0</v>
      </c>
      <c r="E119" s="2">
        <v>5141.43</v>
      </c>
      <c r="F119" s="2">
        <v>4277666.0</v>
      </c>
      <c r="G119" s="2">
        <v>656.0</v>
      </c>
      <c r="H119" s="6">
        <f t="shared" si="1"/>
        <v>3084.858</v>
      </c>
      <c r="I119" s="6">
        <f t="shared" si="2"/>
        <v>1711067.904</v>
      </c>
      <c r="J119" s="6">
        <f t="shared" si="3"/>
        <v>832</v>
      </c>
      <c r="K119" s="6">
        <f t="shared" si="4"/>
        <v>4627.287</v>
      </c>
      <c r="L119" s="6">
        <f t="shared" si="5"/>
        <v>3849902.784</v>
      </c>
      <c r="M119" s="6">
        <f t="shared" si="6"/>
        <v>1283300.928</v>
      </c>
    </row>
    <row r="120" ht="15.75" customHeight="1">
      <c r="A120" s="2" t="s">
        <v>15</v>
      </c>
      <c r="B120" s="5" t="s">
        <v>31</v>
      </c>
      <c r="C120" s="2" t="s">
        <v>21</v>
      </c>
      <c r="D120" s="2">
        <v>144.0</v>
      </c>
      <c r="E120" s="2">
        <v>20999.81</v>
      </c>
      <c r="F120" s="2">
        <v>3023973.0</v>
      </c>
      <c r="G120" s="2">
        <v>118.0</v>
      </c>
      <c r="H120" s="6">
        <f t="shared" si="1"/>
        <v>12599.886</v>
      </c>
      <c r="I120" s="6">
        <f t="shared" si="2"/>
        <v>1209589.056</v>
      </c>
      <c r="J120" s="6">
        <f t="shared" si="3"/>
        <v>144</v>
      </c>
      <c r="K120" s="6">
        <f t="shared" si="4"/>
        <v>20999.81</v>
      </c>
      <c r="L120" s="6">
        <f t="shared" si="5"/>
        <v>3023972.64</v>
      </c>
      <c r="M120" s="6">
        <f t="shared" si="6"/>
        <v>1209589.056</v>
      </c>
    </row>
    <row r="121" ht="15.75" customHeight="1">
      <c r="A121" s="2" t="s">
        <v>17</v>
      </c>
      <c r="B121" s="5" t="s">
        <v>14</v>
      </c>
      <c r="C121" s="2" t="s">
        <v>21</v>
      </c>
      <c r="D121" s="2">
        <v>206.0</v>
      </c>
      <c r="E121" s="2">
        <v>21281.11</v>
      </c>
      <c r="F121" s="2">
        <v>4383909.0</v>
      </c>
      <c r="G121" s="2">
        <v>191.0</v>
      </c>
      <c r="H121" s="6">
        <f t="shared" si="1"/>
        <v>12768.666</v>
      </c>
      <c r="I121" s="6">
        <f t="shared" si="2"/>
        <v>1753563.464</v>
      </c>
      <c r="J121" s="6">
        <f t="shared" si="3"/>
        <v>206</v>
      </c>
      <c r="K121" s="6">
        <f t="shared" si="4"/>
        <v>21281.11</v>
      </c>
      <c r="L121" s="6">
        <f t="shared" si="5"/>
        <v>4383908.66</v>
      </c>
      <c r="M121" s="6">
        <f t="shared" si="6"/>
        <v>1753563.464</v>
      </c>
    </row>
    <row r="122" ht="15.75" customHeight="1">
      <c r="A122" s="2" t="s">
        <v>20</v>
      </c>
      <c r="B122" s="5" t="s">
        <v>23</v>
      </c>
      <c r="C122" s="2" t="s">
        <v>27</v>
      </c>
      <c r="D122" s="2">
        <v>656.0</v>
      </c>
      <c r="E122" s="2">
        <v>1218.15</v>
      </c>
      <c r="F122" s="2">
        <v>799107.0</v>
      </c>
      <c r="G122" s="2">
        <v>620.0</v>
      </c>
      <c r="H122" s="6">
        <f t="shared" si="1"/>
        <v>730.89</v>
      </c>
      <c r="I122" s="6">
        <f t="shared" si="2"/>
        <v>319642.56</v>
      </c>
      <c r="J122" s="6">
        <f t="shared" si="3"/>
        <v>656</v>
      </c>
      <c r="K122" s="6">
        <f t="shared" si="4"/>
        <v>1218.15</v>
      </c>
      <c r="L122" s="6">
        <f t="shared" si="5"/>
        <v>799106.4</v>
      </c>
      <c r="M122" s="6">
        <f t="shared" si="6"/>
        <v>319642.56</v>
      </c>
    </row>
    <row r="123" ht="15.75" customHeight="1">
      <c r="A123" s="2" t="s">
        <v>13</v>
      </c>
      <c r="B123" s="5" t="s">
        <v>22</v>
      </c>
      <c r="C123" s="2" t="s">
        <v>21</v>
      </c>
      <c r="D123" s="2">
        <v>127.0</v>
      </c>
      <c r="E123" s="2">
        <v>20879.81</v>
      </c>
      <c r="F123" s="2">
        <v>2651736.0</v>
      </c>
      <c r="G123" s="2">
        <v>100.0</v>
      </c>
      <c r="H123" s="6">
        <f t="shared" si="1"/>
        <v>12527.886</v>
      </c>
      <c r="I123" s="6">
        <f t="shared" si="2"/>
        <v>1060694.348</v>
      </c>
      <c r="J123" s="6">
        <f t="shared" si="3"/>
        <v>127</v>
      </c>
      <c r="K123" s="6">
        <f t="shared" si="4"/>
        <v>20879.81</v>
      </c>
      <c r="L123" s="6">
        <f t="shared" si="5"/>
        <v>2651735.87</v>
      </c>
      <c r="M123" s="6">
        <f t="shared" si="6"/>
        <v>1060694.348</v>
      </c>
    </row>
    <row r="124" ht="15.75" customHeight="1">
      <c r="A124" s="2" t="s">
        <v>13</v>
      </c>
      <c r="B124" s="5" t="s">
        <v>32</v>
      </c>
      <c r="C124" s="2" t="s">
        <v>9</v>
      </c>
      <c r="D124" s="2">
        <v>1125.0</v>
      </c>
      <c r="E124" s="2">
        <v>5473.37</v>
      </c>
      <c r="F124" s="2">
        <v>6157541.0</v>
      </c>
      <c r="G124" s="2">
        <v>998.0</v>
      </c>
      <c r="H124" s="6">
        <f t="shared" si="1"/>
        <v>3284.022</v>
      </c>
      <c r="I124" s="6">
        <f t="shared" si="2"/>
        <v>2463016.5</v>
      </c>
      <c r="J124" s="6">
        <f t="shared" si="3"/>
        <v>1125</v>
      </c>
      <c r="K124" s="6">
        <f t="shared" si="4"/>
        <v>5473.37</v>
      </c>
      <c r="L124" s="6">
        <f t="shared" si="5"/>
        <v>6157541.25</v>
      </c>
      <c r="M124" s="6">
        <f t="shared" si="6"/>
        <v>2463016.5</v>
      </c>
    </row>
    <row r="125" ht="15.75" customHeight="1">
      <c r="A125" s="2" t="s">
        <v>15</v>
      </c>
      <c r="B125" s="5" t="s">
        <v>23</v>
      </c>
      <c r="C125" s="2" t="s">
        <v>21</v>
      </c>
      <c r="D125" s="2">
        <v>214.0</v>
      </c>
      <c r="E125" s="2">
        <v>21876.83</v>
      </c>
      <c r="F125" s="2">
        <v>4681642.0</v>
      </c>
      <c r="G125" s="2">
        <v>162.0</v>
      </c>
      <c r="H125" s="6">
        <f t="shared" si="1"/>
        <v>13126.098</v>
      </c>
      <c r="I125" s="6">
        <f t="shared" si="2"/>
        <v>1872656.648</v>
      </c>
      <c r="J125" s="6">
        <f t="shared" si="3"/>
        <v>214</v>
      </c>
      <c r="K125" s="6">
        <f t="shared" si="4"/>
        <v>21876.83</v>
      </c>
      <c r="L125" s="6">
        <f t="shared" si="5"/>
        <v>4681641.62</v>
      </c>
      <c r="M125" s="6">
        <f t="shared" si="6"/>
        <v>1872656.648</v>
      </c>
    </row>
    <row r="126" ht="15.75" customHeight="1">
      <c r="A126" s="2" t="s">
        <v>24</v>
      </c>
      <c r="B126" s="5" t="s">
        <v>11</v>
      </c>
      <c r="C126" s="2" t="s">
        <v>9</v>
      </c>
      <c r="D126" s="2">
        <v>627.0</v>
      </c>
      <c r="E126" s="2">
        <v>5170.69</v>
      </c>
      <c r="F126" s="2">
        <v>3242020.0</v>
      </c>
      <c r="G126" s="2">
        <v>457.0</v>
      </c>
      <c r="H126" s="6">
        <f t="shared" si="1"/>
        <v>3102.414</v>
      </c>
      <c r="I126" s="6">
        <f t="shared" si="2"/>
        <v>1296809.052</v>
      </c>
      <c r="J126" s="6">
        <f t="shared" si="3"/>
        <v>627</v>
      </c>
      <c r="K126" s="6">
        <f t="shared" si="4"/>
        <v>5170.69</v>
      </c>
      <c r="L126" s="6">
        <f t="shared" si="5"/>
        <v>3242022.63</v>
      </c>
      <c r="M126" s="6">
        <f t="shared" si="6"/>
        <v>1296809.052</v>
      </c>
    </row>
    <row r="127" ht="15.75" customHeight="1">
      <c r="A127" s="2" t="s">
        <v>20</v>
      </c>
      <c r="B127" s="5" t="s">
        <v>8</v>
      </c>
      <c r="C127" s="2" t="s">
        <v>9</v>
      </c>
      <c r="D127" s="2">
        <v>1179.0</v>
      </c>
      <c r="E127" s="2">
        <v>5083.69</v>
      </c>
      <c r="F127" s="2">
        <v>5993671.0</v>
      </c>
      <c r="G127" s="2">
        <v>929.0</v>
      </c>
      <c r="H127" s="6">
        <f t="shared" si="1"/>
        <v>3050.214</v>
      </c>
      <c r="I127" s="6">
        <f t="shared" si="2"/>
        <v>2397468.204</v>
      </c>
      <c r="J127" s="6">
        <f t="shared" si="3"/>
        <v>1179</v>
      </c>
      <c r="K127" s="6">
        <f t="shared" si="4"/>
        <v>5083.69</v>
      </c>
      <c r="L127" s="6">
        <f t="shared" si="5"/>
        <v>5993670.51</v>
      </c>
      <c r="M127" s="6">
        <f t="shared" si="6"/>
        <v>2397468.204</v>
      </c>
    </row>
    <row r="128" ht="15.75" customHeight="1">
      <c r="A128" s="2" t="s">
        <v>24</v>
      </c>
      <c r="B128" s="5" t="s">
        <v>32</v>
      </c>
      <c r="C128" s="2" t="s">
        <v>12</v>
      </c>
      <c r="D128" s="2">
        <v>427.0</v>
      </c>
      <c r="E128" s="2">
        <v>7412.3</v>
      </c>
      <c r="F128" s="2">
        <v>3165052.0</v>
      </c>
      <c r="G128" s="2">
        <v>378.0</v>
      </c>
      <c r="H128" s="6">
        <f t="shared" si="1"/>
        <v>4447.38</v>
      </c>
      <c r="I128" s="6">
        <f t="shared" si="2"/>
        <v>1266020.84</v>
      </c>
      <c r="J128" s="6">
        <f t="shared" si="3"/>
        <v>427</v>
      </c>
      <c r="K128" s="6">
        <f t="shared" si="4"/>
        <v>7412.3</v>
      </c>
      <c r="L128" s="6">
        <f t="shared" si="5"/>
        <v>3165052.1</v>
      </c>
      <c r="M128" s="6">
        <f t="shared" si="6"/>
        <v>1266020.84</v>
      </c>
    </row>
    <row r="129" ht="15.75" customHeight="1">
      <c r="A129" s="2" t="s">
        <v>20</v>
      </c>
      <c r="B129" s="5" t="s">
        <v>16</v>
      </c>
      <c r="C129" s="2" t="s">
        <v>12</v>
      </c>
      <c r="D129" s="2">
        <v>241.0</v>
      </c>
      <c r="E129" s="2">
        <v>7004.36</v>
      </c>
      <c r="F129" s="2">
        <v>1688051.0</v>
      </c>
      <c r="G129" s="2">
        <v>185.0</v>
      </c>
      <c r="H129" s="6">
        <f t="shared" si="1"/>
        <v>4202.616</v>
      </c>
      <c r="I129" s="6">
        <f t="shared" si="2"/>
        <v>675220.304</v>
      </c>
      <c r="J129" s="6">
        <f t="shared" si="3"/>
        <v>241</v>
      </c>
      <c r="K129" s="6">
        <f t="shared" si="4"/>
        <v>7004.36</v>
      </c>
      <c r="L129" s="6">
        <f t="shared" si="5"/>
        <v>1688050.76</v>
      </c>
      <c r="M129" s="6">
        <f t="shared" si="6"/>
        <v>675220.304</v>
      </c>
    </row>
    <row r="130" ht="15.75" customHeight="1">
      <c r="A130" s="2" t="s">
        <v>17</v>
      </c>
      <c r="B130" s="5" t="s">
        <v>8</v>
      </c>
      <c r="C130" s="2" t="s">
        <v>21</v>
      </c>
      <c r="D130" s="2">
        <v>163.0</v>
      </c>
      <c r="E130" s="2">
        <v>19968.98</v>
      </c>
      <c r="F130" s="2">
        <v>3254943.0</v>
      </c>
      <c r="G130" s="2">
        <v>154.0</v>
      </c>
      <c r="H130" s="6">
        <f t="shared" si="1"/>
        <v>11981.388</v>
      </c>
      <c r="I130" s="6">
        <f t="shared" si="2"/>
        <v>1301977.496</v>
      </c>
      <c r="J130" s="6">
        <f t="shared" si="3"/>
        <v>163</v>
      </c>
      <c r="K130" s="6">
        <f t="shared" si="4"/>
        <v>19968.98</v>
      </c>
      <c r="L130" s="6">
        <f t="shared" si="5"/>
        <v>3254943.74</v>
      </c>
      <c r="M130" s="6">
        <f t="shared" si="6"/>
        <v>1301977.496</v>
      </c>
    </row>
    <row r="131" ht="15.75" customHeight="1">
      <c r="A131" s="2" t="s">
        <v>26</v>
      </c>
      <c r="B131" s="5" t="s">
        <v>25</v>
      </c>
      <c r="C131" s="2" t="s">
        <v>9</v>
      </c>
      <c r="D131" s="2">
        <v>1036.0</v>
      </c>
      <c r="E131" s="2">
        <v>5488.26</v>
      </c>
      <c r="F131" s="2">
        <v>5685834.0</v>
      </c>
      <c r="G131" s="2">
        <v>751.0</v>
      </c>
      <c r="H131" s="6">
        <f t="shared" si="1"/>
        <v>3292.956</v>
      </c>
      <c r="I131" s="6">
        <f t="shared" si="2"/>
        <v>2274334.944</v>
      </c>
      <c r="J131" s="6">
        <f t="shared" si="3"/>
        <v>1036</v>
      </c>
      <c r="K131" s="6">
        <f t="shared" si="4"/>
        <v>4939.434</v>
      </c>
      <c r="L131" s="6">
        <f t="shared" si="5"/>
        <v>5117253.624</v>
      </c>
      <c r="M131" s="6">
        <f t="shared" si="6"/>
        <v>1705751.208</v>
      </c>
    </row>
    <row r="132" ht="15.75" customHeight="1">
      <c r="A132" s="2" t="s">
        <v>17</v>
      </c>
      <c r="B132" s="5" t="s">
        <v>22</v>
      </c>
      <c r="C132" s="2" t="s">
        <v>12</v>
      </c>
      <c r="D132" s="2">
        <v>311.0</v>
      </c>
      <c r="E132" s="2">
        <v>6585.43</v>
      </c>
      <c r="F132" s="2">
        <v>2048068.0</v>
      </c>
      <c r="G132" s="2">
        <v>239.0</v>
      </c>
      <c r="H132" s="6">
        <f t="shared" si="1"/>
        <v>3951.258</v>
      </c>
      <c r="I132" s="6">
        <f t="shared" si="2"/>
        <v>819227.492</v>
      </c>
      <c r="J132" s="6">
        <f t="shared" si="3"/>
        <v>311</v>
      </c>
      <c r="K132" s="6">
        <f t="shared" si="4"/>
        <v>6585.43</v>
      </c>
      <c r="L132" s="6">
        <f t="shared" si="5"/>
        <v>2048068.73</v>
      </c>
      <c r="M132" s="6">
        <f t="shared" si="6"/>
        <v>819227.492</v>
      </c>
    </row>
    <row r="133" ht="15.75" customHeight="1">
      <c r="A133" s="2" t="s">
        <v>13</v>
      </c>
      <c r="B133" s="5" t="s">
        <v>11</v>
      </c>
      <c r="C133" s="2" t="s">
        <v>9</v>
      </c>
      <c r="D133" s="2">
        <v>842.0</v>
      </c>
      <c r="E133" s="2">
        <v>5217.31</v>
      </c>
      <c r="F133" s="2">
        <v>4392975.0</v>
      </c>
      <c r="G133" s="2">
        <v>593.0</v>
      </c>
      <c r="H133" s="6">
        <f t="shared" si="1"/>
        <v>3130.386</v>
      </c>
      <c r="I133" s="6">
        <f t="shared" si="2"/>
        <v>1757190.008</v>
      </c>
      <c r="J133" s="6">
        <f t="shared" si="3"/>
        <v>842</v>
      </c>
      <c r="K133" s="6">
        <f t="shared" si="4"/>
        <v>5217.31</v>
      </c>
      <c r="L133" s="6">
        <f t="shared" si="5"/>
        <v>4392975.02</v>
      </c>
      <c r="M133" s="6">
        <f t="shared" si="6"/>
        <v>1757190.008</v>
      </c>
    </row>
    <row r="134" ht="15.75" customHeight="1">
      <c r="A134" s="2" t="s">
        <v>26</v>
      </c>
      <c r="B134" s="5" t="s">
        <v>8</v>
      </c>
      <c r="C134" s="2" t="s">
        <v>27</v>
      </c>
      <c r="D134" s="2">
        <v>622.0</v>
      </c>
      <c r="E134" s="2">
        <v>1217.4</v>
      </c>
      <c r="F134" s="2">
        <v>757221.0</v>
      </c>
      <c r="G134" s="2">
        <v>578.0</v>
      </c>
      <c r="H134" s="6">
        <f t="shared" si="1"/>
        <v>730.44</v>
      </c>
      <c r="I134" s="6">
        <f t="shared" si="2"/>
        <v>302889.12</v>
      </c>
      <c r="J134" s="6">
        <f t="shared" si="3"/>
        <v>622</v>
      </c>
      <c r="K134" s="6">
        <f t="shared" si="4"/>
        <v>1217.4</v>
      </c>
      <c r="L134" s="6">
        <f t="shared" si="5"/>
        <v>757222.8</v>
      </c>
      <c r="M134" s="6">
        <f t="shared" si="6"/>
        <v>302889.12</v>
      </c>
    </row>
    <row r="135" ht="15.75" customHeight="1">
      <c r="A135" s="2" t="s">
        <v>17</v>
      </c>
      <c r="B135" s="5" t="s">
        <v>22</v>
      </c>
      <c r="C135" s="2" t="s">
        <v>9</v>
      </c>
      <c r="D135" s="2">
        <v>1103.0</v>
      </c>
      <c r="E135" s="2">
        <v>5481.57</v>
      </c>
      <c r="F135" s="2">
        <v>6046177.0</v>
      </c>
      <c r="G135" s="2">
        <v>971.0</v>
      </c>
      <c r="H135" s="6">
        <f t="shared" si="1"/>
        <v>3288.942</v>
      </c>
      <c r="I135" s="6">
        <f t="shared" si="2"/>
        <v>2418468.684</v>
      </c>
      <c r="J135" s="6">
        <f t="shared" si="3"/>
        <v>1103</v>
      </c>
      <c r="K135" s="6">
        <f t="shared" si="4"/>
        <v>4933.413</v>
      </c>
      <c r="L135" s="6">
        <f t="shared" si="5"/>
        <v>5441554.539</v>
      </c>
      <c r="M135" s="6">
        <f t="shared" si="6"/>
        <v>1813851.513</v>
      </c>
    </row>
    <row r="136" ht="15.75" customHeight="1">
      <c r="A136" s="2" t="s">
        <v>24</v>
      </c>
      <c r="B136" s="5" t="s">
        <v>32</v>
      </c>
      <c r="C136" s="2" t="s">
        <v>12</v>
      </c>
      <c r="D136" s="2">
        <v>402.0</v>
      </c>
      <c r="E136" s="2">
        <v>6199.18</v>
      </c>
      <c r="F136" s="2">
        <v>2492070.0</v>
      </c>
      <c r="G136" s="2">
        <v>358.0</v>
      </c>
      <c r="H136" s="6">
        <f t="shared" si="1"/>
        <v>3719.508</v>
      </c>
      <c r="I136" s="6">
        <f t="shared" si="2"/>
        <v>996828.144</v>
      </c>
      <c r="J136" s="6">
        <f t="shared" si="3"/>
        <v>402</v>
      </c>
      <c r="K136" s="6">
        <f t="shared" si="4"/>
        <v>6199.18</v>
      </c>
      <c r="L136" s="6">
        <f t="shared" si="5"/>
        <v>2492070.36</v>
      </c>
      <c r="M136" s="6">
        <f t="shared" si="6"/>
        <v>996828.144</v>
      </c>
    </row>
    <row r="137" ht="15.75" customHeight="1">
      <c r="A137" s="2" t="s">
        <v>17</v>
      </c>
      <c r="B137" s="5" t="s">
        <v>23</v>
      </c>
      <c r="C137" s="2" t="s">
        <v>21</v>
      </c>
      <c r="D137" s="2">
        <v>167.0</v>
      </c>
      <c r="E137" s="2">
        <v>21934.69</v>
      </c>
      <c r="F137" s="2">
        <v>3663093.0</v>
      </c>
      <c r="G137" s="2">
        <v>134.0</v>
      </c>
      <c r="H137" s="6">
        <f t="shared" si="1"/>
        <v>13160.814</v>
      </c>
      <c r="I137" s="6">
        <f t="shared" si="2"/>
        <v>1465237.292</v>
      </c>
      <c r="J137" s="6">
        <f t="shared" si="3"/>
        <v>167</v>
      </c>
      <c r="K137" s="6">
        <f t="shared" si="4"/>
        <v>21934.69</v>
      </c>
      <c r="L137" s="6">
        <f t="shared" si="5"/>
        <v>3663093.23</v>
      </c>
      <c r="M137" s="6">
        <f t="shared" si="6"/>
        <v>1465237.292</v>
      </c>
    </row>
    <row r="138" ht="15.75" customHeight="1">
      <c r="A138" s="2" t="s">
        <v>20</v>
      </c>
      <c r="B138" s="5" t="s">
        <v>8</v>
      </c>
      <c r="C138" s="2" t="s">
        <v>9</v>
      </c>
      <c r="D138" s="2">
        <v>739.0</v>
      </c>
      <c r="E138" s="2">
        <v>5351.94</v>
      </c>
      <c r="F138" s="2">
        <v>3955087.0</v>
      </c>
      <c r="G138" s="2">
        <v>570.0</v>
      </c>
      <c r="H138" s="6">
        <f t="shared" si="1"/>
        <v>3211.164</v>
      </c>
      <c r="I138" s="6">
        <f t="shared" si="2"/>
        <v>1582033.464</v>
      </c>
      <c r="J138" s="6">
        <f t="shared" si="3"/>
        <v>739</v>
      </c>
      <c r="K138" s="6">
        <f t="shared" si="4"/>
        <v>5351.94</v>
      </c>
      <c r="L138" s="6">
        <f t="shared" si="5"/>
        <v>3955083.66</v>
      </c>
      <c r="M138" s="6">
        <f t="shared" si="6"/>
        <v>1582033.464</v>
      </c>
    </row>
    <row r="139" ht="15.75" customHeight="1">
      <c r="A139" s="2" t="s">
        <v>26</v>
      </c>
      <c r="B139" s="5" t="s">
        <v>29</v>
      </c>
      <c r="C139" s="2" t="s">
        <v>12</v>
      </c>
      <c r="D139" s="2">
        <v>458.0</v>
      </c>
      <c r="E139" s="2">
        <v>6428.71</v>
      </c>
      <c r="F139" s="2">
        <v>2944347.0</v>
      </c>
      <c r="G139" s="2">
        <v>326.0</v>
      </c>
      <c r="H139" s="6">
        <f t="shared" si="1"/>
        <v>3857.226</v>
      </c>
      <c r="I139" s="6">
        <f t="shared" si="2"/>
        <v>1177739.672</v>
      </c>
      <c r="J139" s="6">
        <f t="shared" si="3"/>
        <v>458</v>
      </c>
      <c r="K139" s="6">
        <f t="shared" si="4"/>
        <v>6428.71</v>
      </c>
      <c r="L139" s="6">
        <f t="shared" si="5"/>
        <v>2944349.18</v>
      </c>
      <c r="M139" s="6">
        <f t="shared" si="6"/>
        <v>1177739.672</v>
      </c>
    </row>
    <row r="140" ht="15.75" customHeight="1">
      <c r="A140" s="2" t="s">
        <v>15</v>
      </c>
      <c r="B140" s="5" t="s">
        <v>14</v>
      </c>
      <c r="C140" s="2" t="s">
        <v>21</v>
      </c>
      <c r="D140" s="2">
        <v>104.0</v>
      </c>
      <c r="E140" s="2">
        <v>22305.03</v>
      </c>
      <c r="F140" s="2">
        <v>2319724.0</v>
      </c>
      <c r="G140" s="2">
        <v>79.0</v>
      </c>
      <c r="H140" s="6">
        <f t="shared" si="1"/>
        <v>13383.018</v>
      </c>
      <c r="I140" s="6">
        <f t="shared" si="2"/>
        <v>927889.248</v>
      </c>
      <c r="J140" s="6">
        <f t="shared" si="3"/>
        <v>104</v>
      </c>
      <c r="K140" s="6">
        <f t="shared" si="4"/>
        <v>22305.03</v>
      </c>
      <c r="L140" s="6">
        <f t="shared" si="5"/>
        <v>2319723.12</v>
      </c>
      <c r="M140" s="6">
        <f t="shared" si="6"/>
        <v>927889.248</v>
      </c>
    </row>
    <row r="141" ht="15.75" customHeight="1">
      <c r="A141" s="2" t="s">
        <v>26</v>
      </c>
      <c r="B141" s="5" t="s">
        <v>25</v>
      </c>
      <c r="C141" s="2" t="s">
        <v>9</v>
      </c>
      <c r="D141" s="2">
        <v>1149.0</v>
      </c>
      <c r="E141" s="2">
        <v>5184.62</v>
      </c>
      <c r="F141" s="2">
        <v>5957130.0</v>
      </c>
      <c r="G141" s="2">
        <v>922.0</v>
      </c>
      <c r="H141" s="6">
        <f t="shared" si="1"/>
        <v>3110.772</v>
      </c>
      <c r="I141" s="6">
        <f t="shared" si="2"/>
        <v>2382851.352</v>
      </c>
      <c r="J141" s="6">
        <f t="shared" si="3"/>
        <v>1149</v>
      </c>
      <c r="K141" s="6">
        <f t="shared" si="4"/>
        <v>4666.158</v>
      </c>
      <c r="L141" s="6">
        <f t="shared" si="5"/>
        <v>5361415.542</v>
      </c>
      <c r="M141" s="6">
        <f t="shared" si="6"/>
        <v>1787138.514</v>
      </c>
    </row>
    <row r="142" ht="15.75" customHeight="1">
      <c r="A142" s="2" t="s">
        <v>20</v>
      </c>
      <c r="B142" s="5" t="s">
        <v>18</v>
      </c>
      <c r="C142" s="2" t="s">
        <v>21</v>
      </c>
      <c r="D142" s="2">
        <v>177.0</v>
      </c>
      <c r="E142" s="2">
        <v>21093.28</v>
      </c>
      <c r="F142" s="2">
        <v>3733510.0</v>
      </c>
      <c r="G142" s="2">
        <v>164.0</v>
      </c>
      <c r="H142" s="6">
        <f t="shared" si="1"/>
        <v>12655.968</v>
      </c>
      <c r="I142" s="6">
        <f t="shared" si="2"/>
        <v>1493404.224</v>
      </c>
      <c r="J142" s="6">
        <f t="shared" si="3"/>
        <v>177</v>
      </c>
      <c r="K142" s="6">
        <f t="shared" si="4"/>
        <v>21093.28</v>
      </c>
      <c r="L142" s="6">
        <f t="shared" si="5"/>
        <v>3733510.56</v>
      </c>
      <c r="M142" s="6">
        <f t="shared" si="6"/>
        <v>1493404.224</v>
      </c>
    </row>
    <row r="143" ht="15.75" customHeight="1">
      <c r="A143" s="2" t="s">
        <v>17</v>
      </c>
      <c r="B143" s="5" t="s">
        <v>16</v>
      </c>
      <c r="C143" s="2" t="s">
        <v>27</v>
      </c>
      <c r="D143" s="2">
        <v>748.0</v>
      </c>
      <c r="E143" s="2">
        <v>1075.82</v>
      </c>
      <c r="F143" s="2">
        <v>804710.0</v>
      </c>
      <c r="G143" s="2">
        <v>549.0</v>
      </c>
      <c r="H143" s="6">
        <f t="shared" si="1"/>
        <v>645.492</v>
      </c>
      <c r="I143" s="6">
        <f t="shared" si="2"/>
        <v>321885.344</v>
      </c>
      <c r="J143" s="6">
        <f t="shared" si="3"/>
        <v>748</v>
      </c>
      <c r="K143" s="6">
        <f t="shared" si="4"/>
        <v>1075.82</v>
      </c>
      <c r="L143" s="6">
        <f t="shared" si="5"/>
        <v>804713.36</v>
      </c>
      <c r="M143" s="6">
        <f t="shared" si="6"/>
        <v>321885.344</v>
      </c>
    </row>
    <row r="144" ht="15.75" customHeight="1">
      <c r="A144" s="2" t="s">
        <v>24</v>
      </c>
      <c r="B144" s="5" t="s">
        <v>18</v>
      </c>
      <c r="C144" s="2" t="s">
        <v>21</v>
      </c>
      <c r="D144" s="2">
        <v>159.0</v>
      </c>
      <c r="E144" s="2">
        <v>21245.22</v>
      </c>
      <c r="F144" s="2">
        <v>3377990.0</v>
      </c>
      <c r="G144" s="2">
        <v>143.0</v>
      </c>
      <c r="H144" s="6">
        <f t="shared" si="1"/>
        <v>12747.132</v>
      </c>
      <c r="I144" s="6">
        <f t="shared" si="2"/>
        <v>1351195.992</v>
      </c>
      <c r="J144" s="6">
        <f t="shared" si="3"/>
        <v>159</v>
      </c>
      <c r="K144" s="6">
        <f t="shared" si="4"/>
        <v>21245.22</v>
      </c>
      <c r="L144" s="6">
        <f t="shared" si="5"/>
        <v>3377989.98</v>
      </c>
      <c r="M144" s="6">
        <f t="shared" si="6"/>
        <v>1351195.992</v>
      </c>
    </row>
    <row r="145" ht="15.75" customHeight="1">
      <c r="A145" s="2" t="s">
        <v>30</v>
      </c>
      <c r="B145" s="5" t="s">
        <v>8</v>
      </c>
      <c r="C145" s="2" t="s">
        <v>9</v>
      </c>
      <c r="D145" s="2">
        <v>641.0</v>
      </c>
      <c r="E145" s="2">
        <v>5236.19</v>
      </c>
      <c r="F145" s="2">
        <v>3356397.0</v>
      </c>
      <c r="G145" s="2">
        <v>511.0</v>
      </c>
      <c r="H145" s="6">
        <f t="shared" si="1"/>
        <v>3141.714</v>
      </c>
      <c r="I145" s="6">
        <f t="shared" si="2"/>
        <v>1342559.116</v>
      </c>
      <c r="J145" s="6">
        <f t="shared" si="3"/>
        <v>641</v>
      </c>
      <c r="K145" s="6">
        <f t="shared" si="4"/>
        <v>5236.19</v>
      </c>
      <c r="L145" s="6">
        <f t="shared" si="5"/>
        <v>3356397.79</v>
      </c>
      <c r="M145" s="6">
        <f t="shared" si="6"/>
        <v>1342559.116</v>
      </c>
    </row>
    <row r="146" ht="15.75" customHeight="1">
      <c r="A146" s="2" t="s">
        <v>13</v>
      </c>
      <c r="B146" s="5" t="s">
        <v>14</v>
      </c>
      <c r="C146" s="2" t="s">
        <v>12</v>
      </c>
      <c r="D146" s="2">
        <v>303.0</v>
      </c>
      <c r="E146" s="2">
        <v>6497.08</v>
      </c>
      <c r="F146" s="2">
        <v>1968614.0</v>
      </c>
      <c r="G146" s="2">
        <v>234.0</v>
      </c>
      <c r="H146" s="6">
        <f t="shared" si="1"/>
        <v>3898.248</v>
      </c>
      <c r="I146" s="6">
        <f t="shared" si="2"/>
        <v>787446.096</v>
      </c>
      <c r="J146" s="6">
        <f t="shared" si="3"/>
        <v>303</v>
      </c>
      <c r="K146" s="6">
        <f t="shared" si="4"/>
        <v>6497.08</v>
      </c>
      <c r="L146" s="6">
        <f t="shared" si="5"/>
        <v>1968615.24</v>
      </c>
      <c r="M146" s="6">
        <f t="shared" si="6"/>
        <v>787446.096</v>
      </c>
    </row>
    <row r="147" ht="15.75" customHeight="1">
      <c r="A147" s="2" t="s">
        <v>7</v>
      </c>
      <c r="B147" s="5" t="s">
        <v>31</v>
      </c>
      <c r="C147" s="2" t="s">
        <v>9</v>
      </c>
      <c r="D147" s="2">
        <v>744.0</v>
      </c>
      <c r="E147" s="2">
        <v>4853.93</v>
      </c>
      <c r="F147" s="2">
        <v>3611327.0</v>
      </c>
      <c r="G147" s="2">
        <v>688.0</v>
      </c>
      <c r="H147" s="6">
        <f t="shared" si="1"/>
        <v>2912.358</v>
      </c>
      <c r="I147" s="6">
        <f t="shared" si="2"/>
        <v>1444529.568</v>
      </c>
      <c r="J147" s="6">
        <f t="shared" si="3"/>
        <v>744</v>
      </c>
      <c r="K147" s="6">
        <f t="shared" si="4"/>
        <v>4853.93</v>
      </c>
      <c r="L147" s="6">
        <f t="shared" si="5"/>
        <v>3611323.92</v>
      </c>
      <c r="M147" s="6">
        <f t="shared" si="6"/>
        <v>1444529.568</v>
      </c>
    </row>
    <row r="148" ht="15.75" customHeight="1">
      <c r="A148" s="2" t="s">
        <v>7</v>
      </c>
      <c r="B148" s="5" t="s">
        <v>32</v>
      </c>
      <c r="C148" s="2" t="s">
        <v>21</v>
      </c>
      <c r="D148" s="2">
        <v>152.0</v>
      </c>
      <c r="E148" s="2">
        <v>21688.49</v>
      </c>
      <c r="F148" s="2">
        <v>3296651.0</v>
      </c>
      <c r="G148" s="2">
        <v>110.0</v>
      </c>
      <c r="H148" s="6">
        <f t="shared" si="1"/>
        <v>13013.094</v>
      </c>
      <c r="I148" s="6">
        <f t="shared" si="2"/>
        <v>1318660.192</v>
      </c>
      <c r="J148" s="6">
        <f t="shared" si="3"/>
        <v>152</v>
      </c>
      <c r="K148" s="6">
        <f t="shared" si="4"/>
        <v>21688.49</v>
      </c>
      <c r="L148" s="6">
        <f t="shared" si="5"/>
        <v>3296650.48</v>
      </c>
      <c r="M148" s="6">
        <f t="shared" si="6"/>
        <v>1318660.192</v>
      </c>
    </row>
    <row r="149" ht="15.75" customHeight="1">
      <c r="A149" s="2" t="s">
        <v>17</v>
      </c>
      <c r="B149" s="5" t="s">
        <v>28</v>
      </c>
      <c r="C149" s="2" t="s">
        <v>12</v>
      </c>
      <c r="D149" s="2">
        <v>378.0</v>
      </c>
      <c r="E149" s="2">
        <v>6931.26</v>
      </c>
      <c r="F149" s="2">
        <v>2620016.0</v>
      </c>
      <c r="G149" s="2">
        <v>296.0</v>
      </c>
      <c r="H149" s="6">
        <f t="shared" si="1"/>
        <v>4158.756</v>
      </c>
      <c r="I149" s="6">
        <f t="shared" si="2"/>
        <v>1048006.512</v>
      </c>
      <c r="J149" s="6">
        <f t="shared" si="3"/>
        <v>378</v>
      </c>
      <c r="K149" s="6">
        <f t="shared" si="4"/>
        <v>6931.26</v>
      </c>
      <c r="L149" s="6">
        <f t="shared" si="5"/>
        <v>2620016.28</v>
      </c>
      <c r="M149" s="6">
        <f t="shared" si="6"/>
        <v>1048006.512</v>
      </c>
    </row>
    <row r="150" ht="15.75" customHeight="1">
      <c r="A150" s="2" t="s">
        <v>19</v>
      </c>
      <c r="B150" s="5" t="s">
        <v>31</v>
      </c>
      <c r="C150" s="2" t="s">
        <v>27</v>
      </c>
      <c r="D150" s="2">
        <v>877.0</v>
      </c>
      <c r="E150" s="2">
        <v>1218.19</v>
      </c>
      <c r="F150" s="2">
        <v>1068350.0</v>
      </c>
      <c r="G150" s="2">
        <v>647.0</v>
      </c>
      <c r="H150" s="6">
        <f t="shared" si="1"/>
        <v>730.914</v>
      </c>
      <c r="I150" s="6">
        <f t="shared" si="2"/>
        <v>427341.052</v>
      </c>
      <c r="J150" s="6">
        <f t="shared" si="3"/>
        <v>877</v>
      </c>
      <c r="K150" s="6">
        <f t="shared" si="4"/>
        <v>1218.19</v>
      </c>
      <c r="L150" s="6">
        <f t="shared" si="5"/>
        <v>1068352.63</v>
      </c>
      <c r="M150" s="6">
        <f t="shared" si="6"/>
        <v>427341.052</v>
      </c>
    </row>
    <row r="151" ht="15.75" customHeight="1">
      <c r="A151" s="2" t="s">
        <v>20</v>
      </c>
      <c r="B151" s="5" t="s">
        <v>18</v>
      </c>
      <c r="C151" s="2" t="s">
        <v>12</v>
      </c>
      <c r="D151" s="2">
        <v>488.0</v>
      </c>
      <c r="E151" s="2">
        <v>6774.47</v>
      </c>
      <c r="F151" s="2">
        <v>3305939.0</v>
      </c>
      <c r="G151" s="2">
        <v>345.0</v>
      </c>
      <c r="H151" s="6">
        <f t="shared" si="1"/>
        <v>4064.682</v>
      </c>
      <c r="I151" s="6">
        <f t="shared" si="2"/>
        <v>1322376.544</v>
      </c>
      <c r="J151" s="6">
        <f t="shared" si="3"/>
        <v>488</v>
      </c>
      <c r="K151" s="6">
        <f t="shared" si="4"/>
        <v>6774.47</v>
      </c>
      <c r="L151" s="6">
        <f t="shared" si="5"/>
        <v>3305941.36</v>
      </c>
      <c r="M151" s="6">
        <f t="shared" si="6"/>
        <v>1322376.544</v>
      </c>
    </row>
    <row r="152" ht="15.75" customHeight="1">
      <c r="A152" s="2" t="s">
        <v>17</v>
      </c>
      <c r="B152" s="5" t="s">
        <v>32</v>
      </c>
      <c r="C152" s="2" t="s">
        <v>21</v>
      </c>
      <c r="D152" s="2">
        <v>104.0</v>
      </c>
      <c r="E152" s="2">
        <v>21221.98</v>
      </c>
      <c r="F152" s="2">
        <v>2207086.0</v>
      </c>
      <c r="G152" s="2">
        <v>94.0</v>
      </c>
      <c r="H152" s="6">
        <f t="shared" si="1"/>
        <v>12733.188</v>
      </c>
      <c r="I152" s="6">
        <f t="shared" si="2"/>
        <v>882834.368</v>
      </c>
      <c r="J152" s="6">
        <f t="shared" si="3"/>
        <v>104</v>
      </c>
      <c r="K152" s="6">
        <f t="shared" si="4"/>
        <v>21221.98</v>
      </c>
      <c r="L152" s="6">
        <f t="shared" si="5"/>
        <v>2207085.92</v>
      </c>
      <c r="M152" s="6">
        <f t="shared" si="6"/>
        <v>882834.368</v>
      </c>
    </row>
    <row r="153" ht="15.75" customHeight="1">
      <c r="A153" s="2" t="s">
        <v>19</v>
      </c>
      <c r="B153" s="5" t="s">
        <v>14</v>
      </c>
      <c r="C153" s="2" t="s">
        <v>27</v>
      </c>
      <c r="D153" s="2">
        <v>1095.0</v>
      </c>
      <c r="E153" s="2">
        <v>1282.91</v>
      </c>
      <c r="F153" s="2">
        <v>1404791.0</v>
      </c>
      <c r="G153" s="2">
        <v>904.0</v>
      </c>
      <c r="H153" s="6">
        <f t="shared" si="1"/>
        <v>769.746</v>
      </c>
      <c r="I153" s="6">
        <f t="shared" si="2"/>
        <v>561914.58</v>
      </c>
      <c r="J153" s="6">
        <f t="shared" si="3"/>
        <v>1095</v>
      </c>
      <c r="K153" s="6">
        <f t="shared" si="4"/>
        <v>1282.91</v>
      </c>
      <c r="L153" s="6">
        <f t="shared" si="5"/>
        <v>1404786.45</v>
      </c>
      <c r="M153" s="6">
        <f t="shared" si="6"/>
        <v>561914.58</v>
      </c>
    </row>
    <row r="154" ht="15.75" customHeight="1">
      <c r="A154" s="2" t="s">
        <v>13</v>
      </c>
      <c r="B154" s="5" t="s">
        <v>18</v>
      </c>
      <c r="C154" s="2" t="s">
        <v>9</v>
      </c>
      <c r="D154" s="2">
        <v>646.0</v>
      </c>
      <c r="E154" s="2">
        <v>5582.85</v>
      </c>
      <c r="F154" s="2">
        <v>3606521.0</v>
      </c>
      <c r="G154" s="2">
        <v>454.0</v>
      </c>
      <c r="H154" s="6">
        <f t="shared" si="1"/>
        <v>3349.71</v>
      </c>
      <c r="I154" s="6">
        <f t="shared" si="2"/>
        <v>1442608.44</v>
      </c>
      <c r="J154" s="6">
        <f t="shared" si="3"/>
        <v>646</v>
      </c>
      <c r="K154" s="6">
        <f t="shared" si="4"/>
        <v>5582.85</v>
      </c>
      <c r="L154" s="6">
        <f t="shared" si="5"/>
        <v>3606521.1</v>
      </c>
      <c r="M154" s="6">
        <f t="shared" si="6"/>
        <v>1442608.44</v>
      </c>
    </row>
    <row r="155" ht="15.75" customHeight="1">
      <c r="A155" s="2" t="s">
        <v>10</v>
      </c>
      <c r="B155" s="5" t="s">
        <v>28</v>
      </c>
      <c r="C155" s="2" t="s">
        <v>27</v>
      </c>
      <c r="D155" s="2">
        <v>691.0</v>
      </c>
      <c r="E155" s="2">
        <v>1152.64</v>
      </c>
      <c r="F155" s="2">
        <v>796475.0</v>
      </c>
      <c r="G155" s="2">
        <v>607.0</v>
      </c>
      <c r="H155" s="6">
        <f t="shared" si="1"/>
        <v>691.584</v>
      </c>
      <c r="I155" s="6">
        <f t="shared" si="2"/>
        <v>318589.696</v>
      </c>
      <c r="J155" s="6">
        <f t="shared" si="3"/>
        <v>691</v>
      </c>
      <c r="K155" s="6">
        <f t="shared" si="4"/>
        <v>1152.64</v>
      </c>
      <c r="L155" s="6">
        <f t="shared" si="5"/>
        <v>796474.24</v>
      </c>
      <c r="M155" s="6">
        <f t="shared" si="6"/>
        <v>318589.696</v>
      </c>
    </row>
    <row r="156" ht="15.75" customHeight="1">
      <c r="A156" s="2" t="s">
        <v>26</v>
      </c>
      <c r="B156" s="5" t="s">
        <v>8</v>
      </c>
      <c r="C156" s="2" t="s">
        <v>12</v>
      </c>
      <c r="D156" s="2">
        <v>453.0</v>
      </c>
      <c r="E156" s="2">
        <v>6751.18</v>
      </c>
      <c r="F156" s="2">
        <v>3058284.0</v>
      </c>
      <c r="G156" s="2">
        <v>362.0</v>
      </c>
      <c r="H156" s="6">
        <f t="shared" si="1"/>
        <v>4050.708</v>
      </c>
      <c r="I156" s="6">
        <f t="shared" si="2"/>
        <v>1223313.816</v>
      </c>
      <c r="J156" s="6">
        <f t="shared" si="3"/>
        <v>453</v>
      </c>
      <c r="K156" s="6">
        <f t="shared" si="4"/>
        <v>6751.18</v>
      </c>
      <c r="L156" s="6">
        <f t="shared" si="5"/>
        <v>3058284.54</v>
      </c>
      <c r="M156" s="6">
        <f t="shared" si="6"/>
        <v>1223313.816</v>
      </c>
    </row>
    <row r="157" ht="15.75" customHeight="1">
      <c r="A157" s="2" t="s">
        <v>30</v>
      </c>
      <c r="B157" s="5" t="s">
        <v>29</v>
      </c>
      <c r="C157" s="2" t="s">
        <v>27</v>
      </c>
      <c r="D157" s="2">
        <v>617.0</v>
      </c>
      <c r="E157" s="2">
        <v>1283.56</v>
      </c>
      <c r="F157" s="2">
        <v>791954.0</v>
      </c>
      <c r="G157" s="2">
        <v>522.0</v>
      </c>
      <c r="H157" s="6">
        <f t="shared" si="1"/>
        <v>770.136</v>
      </c>
      <c r="I157" s="6">
        <f t="shared" si="2"/>
        <v>316782.608</v>
      </c>
      <c r="J157" s="6">
        <f t="shared" si="3"/>
        <v>617</v>
      </c>
      <c r="K157" s="6">
        <f t="shared" si="4"/>
        <v>1283.56</v>
      </c>
      <c r="L157" s="6">
        <f t="shared" si="5"/>
        <v>791956.52</v>
      </c>
      <c r="M157" s="6">
        <f t="shared" si="6"/>
        <v>316782.608</v>
      </c>
    </row>
    <row r="158" ht="15.75" customHeight="1">
      <c r="A158" s="2" t="s">
        <v>15</v>
      </c>
      <c r="B158" s="5" t="s">
        <v>25</v>
      </c>
      <c r="C158" s="2" t="s">
        <v>9</v>
      </c>
      <c r="D158" s="2">
        <v>1059.0</v>
      </c>
      <c r="E158" s="2">
        <v>5540.99</v>
      </c>
      <c r="F158" s="2">
        <v>5867913.0</v>
      </c>
      <c r="G158" s="2">
        <v>840.0</v>
      </c>
      <c r="H158" s="6">
        <f t="shared" si="1"/>
        <v>3324.594</v>
      </c>
      <c r="I158" s="6">
        <f t="shared" si="2"/>
        <v>2347163.364</v>
      </c>
      <c r="J158" s="6">
        <f t="shared" si="3"/>
        <v>1059</v>
      </c>
      <c r="K158" s="6">
        <f t="shared" si="4"/>
        <v>4986.891</v>
      </c>
      <c r="L158" s="6">
        <f t="shared" si="5"/>
        <v>5281117.569</v>
      </c>
      <c r="M158" s="6">
        <f t="shared" si="6"/>
        <v>1760372.523</v>
      </c>
    </row>
    <row r="159" ht="15.75" customHeight="1">
      <c r="A159" s="2" t="s">
        <v>24</v>
      </c>
      <c r="B159" s="5" t="s">
        <v>22</v>
      </c>
      <c r="C159" s="2" t="s">
        <v>12</v>
      </c>
      <c r="D159" s="2">
        <v>228.0</v>
      </c>
      <c r="E159" s="2">
        <v>6901.73</v>
      </c>
      <c r="F159" s="2">
        <v>1573594.0</v>
      </c>
      <c r="G159" s="2">
        <v>165.0</v>
      </c>
      <c r="H159" s="6">
        <f t="shared" si="1"/>
        <v>4141.038</v>
      </c>
      <c r="I159" s="6">
        <f t="shared" si="2"/>
        <v>629437.776</v>
      </c>
      <c r="J159" s="6">
        <f t="shared" si="3"/>
        <v>228</v>
      </c>
      <c r="K159" s="6">
        <f t="shared" si="4"/>
        <v>6901.73</v>
      </c>
      <c r="L159" s="6">
        <f t="shared" si="5"/>
        <v>1573594.44</v>
      </c>
      <c r="M159" s="6">
        <f t="shared" si="6"/>
        <v>629437.776</v>
      </c>
    </row>
    <row r="160" ht="15.75" customHeight="1">
      <c r="A160" s="2" t="s">
        <v>24</v>
      </c>
      <c r="B160" s="5" t="s">
        <v>22</v>
      </c>
      <c r="C160" s="2" t="s">
        <v>12</v>
      </c>
      <c r="D160" s="2">
        <v>456.0</v>
      </c>
      <c r="E160" s="2">
        <v>7461.61</v>
      </c>
      <c r="F160" s="2">
        <v>3402493.0</v>
      </c>
      <c r="G160" s="2">
        <v>364.0</v>
      </c>
      <c r="H160" s="6">
        <f t="shared" si="1"/>
        <v>4476.966</v>
      </c>
      <c r="I160" s="6">
        <f t="shared" si="2"/>
        <v>1360997.664</v>
      </c>
      <c r="J160" s="6">
        <f t="shared" si="3"/>
        <v>456</v>
      </c>
      <c r="K160" s="6">
        <f t="shared" si="4"/>
        <v>7461.61</v>
      </c>
      <c r="L160" s="6">
        <f t="shared" si="5"/>
        <v>3402494.16</v>
      </c>
      <c r="M160" s="6">
        <f t="shared" si="6"/>
        <v>1360997.664</v>
      </c>
    </row>
    <row r="161" ht="15.75" customHeight="1">
      <c r="A161" s="2" t="s">
        <v>24</v>
      </c>
      <c r="B161" s="5" t="s">
        <v>18</v>
      </c>
      <c r="C161" s="2" t="s">
        <v>9</v>
      </c>
      <c r="D161" s="2">
        <v>801.0</v>
      </c>
      <c r="E161" s="2">
        <v>5404.79</v>
      </c>
      <c r="F161" s="2">
        <v>4329237.0</v>
      </c>
      <c r="G161" s="2">
        <v>721.0</v>
      </c>
      <c r="H161" s="6">
        <f t="shared" si="1"/>
        <v>3242.874</v>
      </c>
      <c r="I161" s="6">
        <f t="shared" si="2"/>
        <v>1731694.716</v>
      </c>
      <c r="J161" s="6">
        <f t="shared" si="3"/>
        <v>801</v>
      </c>
      <c r="K161" s="6">
        <f t="shared" si="4"/>
        <v>5404.79</v>
      </c>
      <c r="L161" s="6">
        <f t="shared" si="5"/>
        <v>4329236.79</v>
      </c>
      <c r="M161" s="6">
        <f t="shared" si="6"/>
        <v>1731694.716</v>
      </c>
    </row>
    <row r="162" ht="15.75" customHeight="1">
      <c r="A162" s="2" t="s">
        <v>26</v>
      </c>
      <c r="B162" s="5" t="s">
        <v>23</v>
      </c>
      <c r="C162" s="2" t="s">
        <v>9</v>
      </c>
      <c r="D162" s="2">
        <v>1174.0</v>
      </c>
      <c r="E162" s="2">
        <v>5510.36</v>
      </c>
      <c r="F162" s="2">
        <v>6469159.0</v>
      </c>
      <c r="G162" s="2">
        <v>1092.0</v>
      </c>
      <c r="H162" s="6">
        <f t="shared" si="1"/>
        <v>3306.216</v>
      </c>
      <c r="I162" s="6">
        <f t="shared" si="2"/>
        <v>2587665.056</v>
      </c>
      <c r="J162" s="6">
        <f t="shared" si="3"/>
        <v>1174</v>
      </c>
      <c r="K162" s="6">
        <f t="shared" si="4"/>
        <v>5510.36</v>
      </c>
      <c r="L162" s="6">
        <f t="shared" si="5"/>
        <v>6469162.64</v>
      </c>
      <c r="M162" s="6">
        <f t="shared" si="6"/>
        <v>2587665.056</v>
      </c>
    </row>
    <row r="163" ht="15.75" customHeight="1">
      <c r="A163" s="2" t="s">
        <v>7</v>
      </c>
      <c r="B163" s="5" t="s">
        <v>32</v>
      </c>
      <c r="C163" s="2" t="s">
        <v>12</v>
      </c>
      <c r="D163" s="2">
        <v>216.0</v>
      </c>
      <c r="E163" s="2">
        <v>6625.79</v>
      </c>
      <c r="F163" s="2">
        <v>1431171.0</v>
      </c>
      <c r="G163" s="2">
        <v>182.0</v>
      </c>
      <c r="H163" s="6">
        <f t="shared" si="1"/>
        <v>3975.474</v>
      </c>
      <c r="I163" s="6">
        <f t="shared" si="2"/>
        <v>572468.256</v>
      </c>
      <c r="J163" s="6">
        <f t="shared" si="3"/>
        <v>216</v>
      </c>
      <c r="K163" s="6">
        <f t="shared" si="4"/>
        <v>6625.79</v>
      </c>
      <c r="L163" s="6">
        <f t="shared" si="5"/>
        <v>1431170.64</v>
      </c>
      <c r="M163" s="6">
        <f t="shared" si="6"/>
        <v>572468.256</v>
      </c>
    </row>
    <row r="164" ht="15.75" customHeight="1">
      <c r="A164" s="2" t="s">
        <v>10</v>
      </c>
      <c r="B164" s="5" t="s">
        <v>22</v>
      </c>
      <c r="C164" s="2" t="s">
        <v>27</v>
      </c>
      <c r="D164" s="2">
        <v>424.0</v>
      </c>
      <c r="E164" s="2">
        <v>930.31</v>
      </c>
      <c r="F164" s="2">
        <v>394452.0</v>
      </c>
      <c r="G164" s="2">
        <v>393.0</v>
      </c>
      <c r="H164" s="6">
        <f t="shared" si="1"/>
        <v>558.186</v>
      </c>
      <c r="I164" s="6">
        <f t="shared" si="2"/>
        <v>157780.576</v>
      </c>
      <c r="J164" s="6">
        <f t="shared" si="3"/>
        <v>424</v>
      </c>
      <c r="K164" s="6">
        <f t="shared" si="4"/>
        <v>930.31</v>
      </c>
      <c r="L164" s="6">
        <f t="shared" si="5"/>
        <v>394451.44</v>
      </c>
      <c r="M164" s="6">
        <f t="shared" si="6"/>
        <v>157780.576</v>
      </c>
    </row>
    <row r="165" ht="15.75" customHeight="1">
      <c r="A165" s="2" t="s">
        <v>20</v>
      </c>
      <c r="B165" s="5" t="s">
        <v>29</v>
      </c>
      <c r="C165" s="2" t="s">
        <v>21</v>
      </c>
      <c r="D165" s="2">
        <v>213.0</v>
      </c>
      <c r="E165" s="2">
        <v>21456.56</v>
      </c>
      <c r="F165" s="2">
        <v>4570248.0</v>
      </c>
      <c r="G165" s="2">
        <v>184.0</v>
      </c>
      <c r="H165" s="6">
        <f t="shared" si="1"/>
        <v>12873.936</v>
      </c>
      <c r="I165" s="6">
        <f t="shared" si="2"/>
        <v>1828098.912</v>
      </c>
      <c r="J165" s="6">
        <f t="shared" si="3"/>
        <v>213</v>
      </c>
      <c r="K165" s="6">
        <f t="shared" si="4"/>
        <v>21456.56</v>
      </c>
      <c r="L165" s="6">
        <f t="shared" si="5"/>
        <v>4570247.28</v>
      </c>
      <c r="M165" s="6">
        <f t="shared" si="6"/>
        <v>1828098.912</v>
      </c>
    </row>
    <row r="166" ht="15.75" customHeight="1">
      <c r="A166" s="2" t="s">
        <v>7</v>
      </c>
      <c r="B166" s="5" t="s">
        <v>31</v>
      </c>
      <c r="C166" s="2" t="s">
        <v>27</v>
      </c>
      <c r="D166" s="2">
        <v>760.0</v>
      </c>
      <c r="E166" s="2">
        <v>1173.11</v>
      </c>
      <c r="F166" s="2">
        <v>891564.0</v>
      </c>
      <c r="G166" s="2">
        <v>548.0</v>
      </c>
      <c r="H166" s="6">
        <f t="shared" si="1"/>
        <v>703.866</v>
      </c>
      <c r="I166" s="6">
        <f t="shared" si="2"/>
        <v>356625.44</v>
      </c>
      <c r="J166" s="6">
        <f t="shared" si="3"/>
        <v>760</v>
      </c>
      <c r="K166" s="6">
        <f t="shared" si="4"/>
        <v>1173.11</v>
      </c>
      <c r="L166" s="6">
        <f t="shared" si="5"/>
        <v>891563.6</v>
      </c>
      <c r="M166" s="6">
        <f t="shared" si="6"/>
        <v>356625.44</v>
      </c>
    </row>
    <row r="167" ht="15.75" customHeight="1">
      <c r="A167" s="2" t="s">
        <v>13</v>
      </c>
      <c r="B167" s="5" t="s">
        <v>31</v>
      </c>
      <c r="C167" s="2" t="s">
        <v>12</v>
      </c>
      <c r="D167" s="2">
        <v>456.0</v>
      </c>
      <c r="E167" s="2">
        <v>6368.04</v>
      </c>
      <c r="F167" s="2">
        <v>2903827.0</v>
      </c>
      <c r="G167" s="2">
        <v>354.0</v>
      </c>
      <c r="H167" s="6">
        <f t="shared" si="1"/>
        <v>3820.824</v>
      </c>
      <c r="I167" s="6">
        <f t="shared" si="2"/>
        <v>1161530.496</v>
      </c>
      <c r="J167" s="6">
        <f t="shared" si="3"/>
        <v>456</v>
      </c>
      <c r="K167" s="6">
        <f t="shared" si="4"/>
        <v>6368.04</v>
      </c>
      <c r="L167" s="6">
        <f t="shared" si="5"/>
        <v>2903826.24</v>
      </c>
      <c r="M167" s="6">
        <f t="shared" si="6"/>
        <v>1161530.496</v>
      </c>
    </row>
    <row r="168" ht="15.75" customHeight="1">
      <c r="A168" s="2" t="s">
        <v>7</v>
      </c>
      <c r="B168" s="5" t="s">
        <v>28</v>
      </c>
      <c r="C168" s="2" t="s">
        <v>12</v>
      </c>
      <c r="D168" s="2">
        <v>410.0</v>
      </c>
      <c r="E168" s="2">
        <v>6565.59</v>
      </c>
      <c r="F168" s="2">
        <v>2691893.0</v>
      </c>
      <c r="G168" s="2">
        <v>351.0</v>
      </c>
      <c r="H168" s="6">
        <f t="shared" si="1"/>
        <v>3939.354</v>
      </c>
      <c r="I168" s="6">
        <f t="shared" si="2"/>
        <v>1076756.76</v>
      </c>
      <c r="J168" s="6">
        <f t="shared" si="3"/>
        <v>410</v>
      </c>
      <c r="K168" s="6">
        <f t="shared" si="4"/>
        <v>6565.59</v>
      </c>
      <c r="L168" s="6">
        <f t="shared" si="5"/>
        <v>2691891.9</v>
      </c>
      <c r="M168" s="6">
        <f t="shared" si="6"/>
        <v>1076756.76</v>
      </c>
    </row>
    <row r="169" ht="15.75" customHeight="1">
      <c r="A169" s="2" t="s">
        <v>13</v>
      </c>
      <c r="B169" s="5" t="s">
        <v>28</v>
      </c>
      <c r="C169" s="2" t="s">
        <v>21</v>
      </c>
      <c r="D169" s="2">
        <v>100.0</v>
      </c>
      <c r="E169" s="2">
        <v>19800.72</v>
      </c>
      <c r="F169" s="2">
        <v>1980072.0</v>
      </c>
      <c r="G169" s="2">
        <v>89.0</v>
      </c>
      <c r="H169" s="6">
        <f t="shared" si="1"/>
        <v>11880.432</v>
      </c>
      <c r="I169" s="6">
        <f t="shared" si="2"/>
        <v>792028.8</v>
      </c>
      <c r="J169" s="6">
        <f t="shared" si="3"/>
        <v>100</v>
      </c>
      <c r="K169" s="6">
        <f t="shared" si="4"/>
        <v>19800.72</v>
      </c>
      <c r="L169" s="6">
        <f t="shared" si="5"/>
        <v>1980072</v>
      </c>
      <c r="M169" s="6">
        <f t="shared" si="6"/>
        <v>792028.8</v>
      </c>
    </row>
    <row r="170" ht="15.75" customHeight="1">
      <c r="A170" s="2" t="s">
        <v>15</v>
      </c>
      <c r="B170" s="5" t="s">
        <v>32</v>
      </c>
      <c r="C170" s="2" t="s">
        <v>21</v>
      </c>
      <c r="D170" s="2">
        <v>212.0</v>
      </c>
      <c r="E170" s="2">
        <v>22496.87</v>
      </c>
      <c r="F170" s="2">
        <v>4769336.0</v>
      </c>
      <c r="G170" s="2">
        <v>156.0</v>
      </c>
      <c r="H170" s="6">
        <f t="shared" si="1"/>
        <v>13498.122</v>
      </c>
      <c r="I170" s="6">
        <f t="shared" si="2"/>
        <v>1907734.576</v>
      </c>
      <c r="J170" s="6">
        <f t="shared" si="3"/>
        <v>212</v>
      </c>
      <c r="K170" s="6">
        <f t="shared" si="4"/>
        <v>22496.87</v>
      </c>
      <c r="L170" s="6">
        <f t="shared" si="5"/>
        <v>4769336.44</v>
      </c>
      <c r="M170" s="6">
        <f t="shared" si="6"/>
        <v>1907734.576</v>
      </c>
    </row>
    <row r="171" ht="15.75" customHeight="1">
      <c r="A171" s="2" t="s">
        <v>20</v>
      </c>
      <c r="B171" s="5" t="s">
        <v>14</v>
      </c>
      <c r="C171" s="2" t="s">
        <v>9</v>
      </c>
      <c r="D171" s="2">
        <v>654.0</v>
      </c>
      <c r="E171" s="2">
        <v>4885.32</v>
      </c>
      <c r="F171" s="2">
        <v>3195001.0</v>
      </c>
      <c r="G171" s="2">
        <v>612.0</v>
      </c>
      <c r="H171" s="6">
        <f t="shared" si="1"/>
        <v>2931.192</v>
      </c>
      <c r="I171" s="6">
        <f t="shared" si="2"/>
        <v>1277999.712</v>
      </c>
      <c r="J171" s="6">
        <f t="shared" si="3"/>
        <v>654</v>
      </c>
      <c r="K171" s="6">
        <f t="shared" si="4"/>
        <v>4885.32</v>
      </c>
      <c r="L171" s="6">
        <f t="shared" si="5"/>
        <v>3194999.28</v>
      </c>
      <c r="M171" s="6">
        <f t="shared" si="6"/>
        <v>1277999.712</v>
      </c>
    </row>
    <row r="172" ht="15.75" customHeight="1">
      <c r="A172" s="2" t="s">
        <v>30</v>
      </c>
      <c r="B172" s="5" t="s">
        <v>23</v>
      </c>
      <c r="C172" s="2" t="s">
        <v>12</v>
      </c>
      <c r="D172" s="2">
        <v>361.0</v>
      </c>
      <c r="E172" s="2">
        <v>6591.43</v>
      </c>
      <c r="F172" s="2">
        <v>2379507.0</v>
      </c>
      <c r="G172" s="2">
        <v>266.0</v>
      </c>
      <c r="H172" s="6">
        <f t="shared" si="1"/>
        <v>3954.858</v>
      </c>
      <c r="I172" s="6">
        <f t="shared" si="2"/>
        <v>951802.492</v>
      </c>
      <c r="J172" s="6">
        <f t="shared" si="3"/>
        <v>361</v>
      </c>
      <c r="K172" s="6">
        <f t="shared" si="4"/>
        <v>6591.43</v>
      </c>
      <c r="L172" s="6">
        <f t="shared" si="5"/>
        <v>2379506.23</v>
      </c>
      <c r="M172" s="6">
        <f t="shared" si="6"/>
        <v>951802.492</v>
      </c>
    </row>
    <row r="173" ht="15.75" customHeight="1">
      <c r="A173" s="2" t="s">
        <v>15</v>
      </c>
      <c r="B173" s="5" t="s">
        <v>11</v>
      </c>
      <c r="C173" s="2" t="s">
        <v>9</v>
      </c>
      <c r="D173" s="2">
        <v>607.0</v>
      </c>
      <c r="E173" s="2">
        <v>5286.08</v>
      </c>
      <c r="F173" s="2">
        <v>3208652.0</v>
      </c>
      <c r="G173" s="2">
        <v>429.0</v>
      </c>
      <c r="H173" s="6">
        <f t="shared" si="1"/>
        <v>3171.648</v>
      </c>
      <c r="I173" s="6">
        <f t="shared" si="2"/>
        <v>1283460.224</v>
      </c>
      <c r="J173" s="6">
        <f t="shared" si="3"/>
        <v>607</v>
      </c>
      <c r="K173" s="6">
        <f t="shared" si="4"/>
        <v>5286.08</v>
      </c>
      <c r="L173" s="6">
        <f t="shared" si="5"/>
        <v>3208650.56</v>
      </c>
      <c r="M173" s="6">
        <f t="shared" si="6"/>
        <v>1283460.224</v>
      </c>
    </row>
    <row r="174" ht="15.75" customHeight="1">
      <c r="A174" s="2" t="s">
        <v>7</v>
      </c>
      <c r="B174" s="5" t="s">
        <v>28</v>
      </c>
      <c r="C174" s="2" t="s">
        <v>27</v>
      </c>
      <c r="D174" s="2">
        <v>842.0</v>
      </c>
      <c r="E174" s="2">
        <v>1457.14</v>
      </c>
      <c r="F174" s="2">
        <v>1226910.0</v>
      </c>
      <c r="G174" s="2">
        <v>660.0</v>
      </c>
      <c r="H174" s="6">
        <f t="shared" si="1"/>
        <v>874.284</v>
      </c>
      <c r="I174" s="6">
        <f t="shared" si="2"/>
        <v>490764.752</v>
      </c>
      <c r="J174" s="6">
        <f t="shared" si="3"/>
        <v>842</v>
      </c>
      <c r="K174" s="6">
        <f t="shared" si="4"/>
        <v>1457.14</v>
      </c>
      <c r="L174" s="6">
        <f t="shared" si="5"/>
        <v>1226911.88</v>
      </c>
      <c r="M174" s="6">
        <f t="shared" si="6"/>
        <v>490764.752</v>
      </c>
    </row>
    <row r="175" ht="15.75" customHeight="1">
      <c r="A175" s="2" t="s">
        <v>26</v>
      </c>
      <c r="B175" s="5" t="s">
        <v>28</v>
      </c>
      <c r="C175" s="2" t="s">
        <v>12</v>
      </c>
      <c r="D175" s="2">
        <v>296.0</v>
      </c>
      <c r="E175" s="2">
        <v>6744.7</v>
      </c>
      <c r="F175" s="2">
        <v>1996432.0</v>
      </c>
      <c r="G175" s="2">
        <v>248.0</v>
      </c>
      <c r="H175" s="6">
        <f t="shared" si="1"/>
        <v>4046.82</v>
      </c>
      <c r="I175" s="6">
        <f t="shared" si="2"/>
        <v>798572.48</v>
      </c>
      <c r="J175" s="6">
        <f t="shared" si="3"/>
        <v>296</v>
      </c>
      <c r="K175" s="6">
        <f t="shared" si="4"/>
        <v>6744.7</v>
      </c>
      <c r="L175" s="6">
        <f t="shared" si="5"/>
        <v>1996431.2</v>
      </c>
      <c r="M175" s="6">
        <f t="shared" si="6"/>
        <v>798572.48</v>
      </c>
    </row>
    <row r="176" ht="15.75" customHeight="1">
      <c r="A176" s="2" t="s">
        <v>13</v>
      </c>
      <c r="B176" s="5" t="s">
        <v>32</v>
      </c>
      <c r="C176" s="2" t="s">
        <v>12</v>
      </c>
      <c r="D176" s="2">
        <v>295.0</v>
      </c>
      <c r="E176" s="2">
        <v>6703.9</v>
      </c>
      <c r="F176" s="2">
        <v>1977651.0</v>
      </c>
      <c r="G176" s="2">
        <v>266.0</v>
      </c>
      <c r="H176" s="6">
        <f t="shared" si="1"/>
        <v>4022.34</v>
      </c>
      <c r="I176" s="6">
        <f t="shared" si="2"/>
        <v>791060.2</v>
      </c>
      <c r="J176" s="6">
        <f t="shared" si="3"/>
        <v>295</v>
      </c>
      <c r="K176" s="6">
        <f t="shared" si="4"/>
        <v>6703.9</v>
      </c>
      <c r="L176" s="6">
        <f t="shared" si="5"/>
        <v>1977650.5</v>
      </c>
      <c r="M176" s="6">
        <f t="shared" si="6"/>
        <v>791060.2</v>
      </c>
    </row>
    <row r="177" ht="15.75" customHeight="1">
      <c r="A177" s="2" t="s">
        <v>19</v>
      </c>
      <c r="B177" s="5" t="s">
        <v>8</v>
      </c>
      <c r="C177" s="2" t="s">
        <v>9</v>
      </c>
      <c r="D177" s="2">
        <v>781.0</v>
      </c>
      <c r="E177" s="2">
        <v>5312.31</v>
      </c>
      <c r="F177" s="2">
        <v>4148917.0</v>
      </c>
      <c r="G177" s="2">
        <v>586.0</v>
      </c>
      <c r="H177" s="6">
        <f t="shared" si="1"/>
        <v>3187.386</v>
      </c>
      <c r="I177" s="6">
        <f t="shared" si="2"/>
        <v>1659565.644</v>
      </c>
      <c r="J177" s="6">
        <f t="shared" si="3"/>
        <v>781</v>
      </c>
      <c r="K177" s="6">
        <f t="shared" si="4"/>
        <v>5312.31</v>
      </c>
      <c r="L177" s="6">
        <f t="shared" si="5"/>
        <v>4148914.11</v>
      </c>
      <c r="M177" s="6">
        <f t="shared" si="6"/>
        <v>1659565.644</v>
      </c>
    </row>
    <row r="178" ht="15.75" customHeight="1">
      <c r="A178" s="2" t="s">
        <v>7</v>
      </c>
      <c r="B178" s="5" t="s">
        <v>32</v>
      </c>
      <c r="C178" s="2" t="s">
        <v>12</v>
      </c>
      <c r="D178" s="2">
        <v>462.0</v>
      </c>
      <c r="E178" s="2">
        <v>6906.65</v>
      </c>
      <c r="F178" s="2">
        <v>3190873.0</v>
      </c>
      <c r="G178" s="2">
        <v>337.0</v>
      </c>
      <c r="H178" s="6">
        <f t="shared" si="1"/>
        <v>4143.99</v>
      </c>
      <c r="I178" s="6">
        <f t="shared" si="2"/>
        <v>1276348.92</v>
      </c>
      <c r="J178" s="6">
        <f t="shared" si="3"/>
        <v>462</v>
      </c>
      <c r="K178" s="6">
        <f t="shared" si="4"/>
        <v>6906.65</v>
      </c>
      <c r="L178" s="6">
        <f t="shared" si="5"/>
        <v>3190872.3</v>
      </c>
      <c r="M178" s="6">
        <f t="shared" si="6"/>
        <v>1276348.92</v>
      </c>
    </row>
    <row r="179" ht="15.75" customHeight="1">
      <c r="A179" s="2" t="s">
        <v>10</v>
      </c>
      <c r="B179" s="5" t="s">
        <v>8</v>
      </c>
      <c r="C179" s="2" t="s">
        <v>9</v>
      </c>
      <c r="D179" s="2">
        <v>681.0</v>
      </c>
      <c r="E179" s="2">
        <v>5393.36</v>
      </c>
      <c r="F179" s="2">
        <v>3672876.0</v>
      </c>
      <c r="G179" s="2">
        <v>628.0</v>
      </c>
      <c r="H179" s="6">
        <f t="shared" si="1"/>
        <v>3236.016</v>
      </c>
      <c r="I179" s="6">
        <f t="shared" si="2"/>
        <v>1469151.264</v>
      </c>
      <c r="J179" s="6">
        <f t="shared" si="3"/>
        <v>681</v>
      </c>
      <c r="K179" s="6">
        <f t="shared" si="4"/>
        <v>5393.36</v>
      </c>
      <c r="L179" s="6">
        <f t="shared" si="5"/>
        <v>3672878.16</v>
      </c>
      <c r="M179" s="6">
        <f t="shared" si="6"/>
        <v>1469151.264</v>
      </c>
    </row>
    <row r="180" ht="15.75" customHeight="1">
      <c r="A180" s="2" t="s">
        <v>26</v>
      </c>
      <c r="B180" s="5" t="s">
        <v>8</v>
      </c>
      <c r="C180" s="2" t="s">
        <v>12</v>
      </c>
      <c r="D180" s="2">
        <v>433.0</v>
      </c>
      <c r="E180" s="2">
        <v>6562.45</v>
      </c>
      <c r="F180" s="2">
        <v>2841539.0</v>
      </c>
      <c r="G180" s="2">
        <v>306.0</v>
      </c>
      <c r="H180" s="6">
        <f t="shared" si="1"/>
        <v>3937.47</v>
      </c>
      <c r="I180" s="6">
        <f t="shared" si="2"/>
        <v>1136616.34</v>
      </c>
      <c r="J180" s="6">
        <f t="shared" si="3"/>
        <v>433</v>
      </c>
      <c r="K180" s="6">
        <f t="shared" si="4"/>
        <v>6562.45</v>
      </c>
      <c r="L180" s="6">
        <f t="shared" si="5"/>
        <v>2841540.85</v>
      </c>
      <c r="M180" s="6">
        <f t="shared" si="6"/>
        <v>1136616.34</v>
      </c>
    </row>
    <row r="181" ht="15.75" customHeight="1">
      <c r="A181" s="2" t="s">
        <v>19</v>
      </c>
      <c r="B181" s="5" t="s">
        <v>18</v>
      </c>
      <c r="C181" s="2" t="s">
        <v>9</v>
      </c>
      <c r="D181" s="2">
        <v>855.0</v>
      </c>
      <c r="E181" s="2">
        <v>5517.71</v>
      </c>
      <c r="F181" s="2">
        <v>4717640.0</v>
      </c>
      <c r="G181" s="2">
        <v>716.0</v>
      </c>
      <c r="H181" s="6">
        <f t="shared" si="1"/>
        <v>3310.626</v>
      </c>
      <c r="I181" s="6">
        <f t="shared" si="2"/>
        <v>1887056.82</v>
      </c>
      <c r="J181" s="6">
        <f t="shared" si="3"/>
        <v>855</v>
      </c>
      <c r="K181" s="6">
        <f t="shared" si="4"/>
        <v>5517.71</v>
      </c>
      <c r="L181" s="6">
        <f t="shared" si="5"/>
        <v>4717642.05</v>
      </c>
      <c r="M181" s="6">
        <f t="shared" si="6"/>
        <v>1887056.82</v>
      </c>
    </row>
    <row r="182" ht="15.75" customHeight="1">
      <c r="A182" s="2" t="s">
        <v>15</v>
      </c>
      <c r="B182" s="5" t="s">
        <v>18</v>
      </c>
      <c r="C182" s="2" t="s">
        <v>27</v>
      </c>
      <c r="D182" s="2">
        <v>899.0</v>
      </c>
      <c r="E182" s="2">
        <v>1216.64</v>
      </c>
      <c r="F182" s="2">
        <v>1093761.0</v>
      </c>
      <c r="G182" s="2">
        <v>850.0</v>
      </c>
      <c r="H182" s="6">
        <f t="shared" si="1"/>
        <v>729.984</v>
      </c>
      <c r="I182" s="6">
        <f t="shared" si="2"/>
        <v>437503.744</v>
      </c>
      <c r="J182" s="6">
        <f t="shared" si="3"/>
        <v>899</v>
      </c>
      <c r="K182" s="6">
        <f t="shared" si="4"/>
        <v>1216.64</v>
      </c>
      <c r="L182" s="6">
        <f t="shared" si="5"/>
        <v>1093759.36</v>
      </c>
      <c r="M182" s="6">
        <f t="shared" si="6"/>
        <v>437503.744</v>
      </c>
    </row>
    <row r="183" ht="15.75" customHeight="1">
      <c r="A183" s="2" t="s">
        <v>7</v>
      </c>
      <c r="B183" s="5" t="s">
        <v>31</v>
      </c>
      <c r="C183" s="2" t="s">
        <v>21</v>
      </c>
      <c r="D183" s="2">
        <v>214.0</v>
      </c>
      <c r="E183" s="2">
        <v>20719.22</v>
      </c>
      <c r="F183" s="2">
        <v>4433912.0</v>
      </c>
      <c r="G183" s="2">
        <v>177.0</v>
      </c>
      <c r="H183" s="6">
        <f t="shared" si="1"/>
        <v>12431.532</v>
      </c>
      <c r="I183" s="6">
        <f t="shared" si="2"/>
        <v>1773565.232</v>
      </c>
      <c r="J183" s="6">
        <f t="shared" si="3"/>
        <v>214</v>
      </c>
      <c r="K183" s="6">
        <f t="shared" si="4"/>
        <v>20719.22</v>
      </c>
      <c r="L183" s="6">
        <f t="shared" si="5"/>
        <v>4433913.08</v>
      </c>
      <c r="M183" s="6">
        <f t="shared" si="6"/>
        <v>1773565.232</v>
      </c>
    </row>
    <row r="184" ht="15.75" customHeight="1">
      <c r="A184" s="2" t="s">
        <v>24</v>
      </c>
      <c r="B184" s="5" t="s">
        <v>14</v>
      </c>
      <c r="C184" s="2" t="s">
        <v>21</v>
      </c>
      <c r="D184" s="2">
        <v>124.0</v>
      </c>
      <c r="E184" s="2">
        <v>21001.72</v>
      </c>
      <c r="F184" s="2">
        <v>2604213.0</v>
      </c>
      <c r="G184" s="2">
        <v>112.0</v>
      </c>
      <c r="H184" s="6">
        <f t="shared" si="1"/>
        <v>12601.032</v>
      </c>
      <c r="I184" s="6">
        <f t="shared" si="2"/>
        <v>1041685.312</v>
      </c>
      <c r="J184" s="6">
        <f t="shared" si="3"/>
        <v>124</v>
      </c>
      <c r="K184" s="6">
        <f t="shared" si="4"/>
        <v>21001.72</v>
      </c>
      <c r="L184" s="6">
        <f t="shared" si="5"/>
        <v>2604213.28</v>
      </c>
      <c r="M184" s="6">
        <f t="shared" si="6"/>
        <v>1041685.312</v>
      </c>
    </row>
    <row r="185" ht="15.75" customHeight="1">
      <c r="A185" s="2" t="s">
        <v>19</v>
      </c>
      <c r="B185" s="5" t="s">
        <v>23</v>
      </c>
      <c r="C185" s="2" t="s">
        <v>21</v>
      </c>
      <c r="D185" s="2">
        <v>128.0</v>
      </c>
      <c r="E185" s="2">
        <v>21165.49</v>
      </c>
      <c r="F185" s="2">
        <v>2709182.0</v>
      </c>
      <c r="G185" s="2">
        <v>95.0</v>
      </c>
      <c r="H185" s="6">
        <f t="shared" si="1"/>
        <v>12699.294</v>
      </c>
      <c r="I185" s="6">
        <f t="shared" si="2"/>
        <v>1083673.088</v>
      </c>
      <c r="J185" s="6">
        <f t="shared" si="3"/>
        <v>128</v>
      </c>
      <c r="K185" s="6">
        <f t="shared" si="4"/>
        <v>21165.49</v>
      </c>
      <c r="L185" s="6">
        <f t="shared" si="5"/>
        <v>2709182.72</v>
      </c>
      <c r="M185" s="6">
        <f t="shared" si="6"/>
        <v>1083673.088</v>
      </c>
    </row>
    <row r="186" ht="15.75" customHeight="1">
      <c r="A186" s="2" t="s">
        <v>7</v>
      </c>
      <c r="B186" s="5" t="s">
        <v>18</v>
      </c>
      <c r="C186" s="2" t="s">
        <v>12</v>
      </c>
      <c r="D186" s="2">
        <v>345.0</v>
      </c>
      <c r="E186" s="2">
        <v>7104.02</v>
      </c>
      <c r="F186" s="2">
        <v>2450888.0</v>
      </c>
      <c r="G186" s="2">
        <v>284.0</v>
      </c>
      <c r="H186" s="6">
        <f t="shared" si="1"/>
        <v>4262.412</v>
      </c>
      <c r="I186" s="6">
        <f t="shared" si="2"/>
        <v>980354.76</v>
      </c>
      <c r="J186" s="6">
        <f t="shared" si="3"/>
        <v>345</v>
      </c>
      <c r="K186" s="6">
        <f t="shared" si="4"/>
        <v>7104.02</v>
      </c>
      <c r="L186" s="6">
        <f t="shared" si="5"/>
        <v>2450886.9</v>
      </c>
      <c r="M186" s="6">
        <f t="shared" si="6"/>
        <v>980354.76</v>
      </c>
    </row>
    <row r="187" ht="15.75" customHeight="1">
      <c r="A187" s="2" t="s">
        <v>15</v>
      </c>
      <c r="B187" s="5" t="s">
        <v>31</v>
      </c>
      <c r="C187" s="2" t="s">
        <v>9</v>
      </c>
      <c r="D187" s="2">
        <v>752.0</v>
      </c>
      <c r="E187" s="2">
        <v>5325.36</v>
      </c>
      <c r="F187" s="2">
        <v>4004670.0</v>
      </c>
      <c r="G187" s="2">
        <v>619.0</v>
      </c>
      <c r="H187" s="6">
        <f t="shared" si="1"/>
        <v>3195.216</v>
      </c>
      <c r="I187" s="6">
        <f t="shared" si="2"/>
        <v>1601868.288</v>
      </c>
      <c r="J187" s="6">
        <f t="shared" si="3"/>
        <v>752</v>
      </c>
      <c r="K187" s="6">
        <f t="shared" si="4"/>
        <v>5325.36</v>
      </c>
      <c r="L187" s="6">
        <f t="shared" si="5"/>
        <v>4004670.72</v>
      </c>
      <c r="M187" s="6">
        <f t="shared" si="6"/>
        <v>1601868.288</v>
      </c>
    </row>
    <row r="188" ht="15.75" customHeight="1">
      <c r="A188" s="2" t="s">
        <v>7</v>
      </c>
      <c r="B188" s="5" t="s">
        <v>18</v>
      </c>
      <c r="C188" s="2" t="s">
        <v>21</v>
      </c>
      <c r="D188" s="2">
        <v>185.0</v>
      </c>
      <c r="E188" s="2">
        <v>21704.82</v>
      </c>
      <c r="F188" s="2">
        <v>4015392.0</v>
      </c>
      <c r="G188" s="2">
        <v>157.0</v>
      </c>
      <c r="H188" s="6">
        <f t="shared" si="1"/>
        <v>13022.892</v>
      </c>
      <c r="I188" s="6">
        <f t="shared" si="2"/>
        <v>1606156.68</v>
      </c>
      <c r="J188" s="6">
        <f t="shared" si="3"/>
        <v>185</v>
      </c>
      <c r="K188" s="6">
        <f t="shared" si="4"/>
        <v>21704.82</v>
      </c>
      <c r="L188" s="6">
        <f t="shared" si="5"/>
        <v>4015391.7</v>
      </c>
      <c r="M188" s="6">
        <f t="shared" si="6"/>
        <v>1606156.68</v>
      </c>
    </row>
    <row r="189" ht="15.75" customHeight="1">
      <c r="A189" s="2" t="s">
        <v>24</v>
      </c>
      <c r="B189" s="5" t="s">
        <v>18</v>
      </c>
      <c r="C189" s="2" t="s">
        <v>12</v>
      </c>
      <c r="D189" s="2">
        <v>372.0</v>
      </c>
      <c r="E189" s="2">
        <v>6994.81</v>
      </c>
      <c r="F189" s="2">
        <v>2602068.0</v>
      </c>
      <c r="G189" s="2">
        <v>338.0</v>
      </c>
      <c r="H189" s="6">
        <f t="shared" si="1"/>
        <v>4196.886</v>
      </c>
      <c r="I189" s="6">
        <f t="shared" si="2"/>
        <v>1040827.728</v>
      </c>
      <c r="J189" s="6">
        <f t="shared" si="3"/>
        <v>372</v>
      </c>
      <c r="K189" s="6">
        <f t="shared" si="4"/>
        <v>6994.81</v>
      </c>
      <c r="L189" s="6">
        <f t="shared" si="5"/>
        <v>2602069.32</v>
      </c>
      <c r="M189" s="6">
        <f t="shared" si="6"/>
        <v>1040827.728</v>
      </c>
    </row>
    <row r="190" ht="15.75" customHeight="1">
      <c r="A190" s="2" t="s">
        <v>26</v>
      </c>
      <c r="B190" s="5" t="s">
        <v>16</v>
      </c>
      <c r="C190" s="2" t="s">
        <v>21</v>
      </c>
      <c r="D190" s="2">
        <v>221.0</v>
      </c>
      <c r="E190" s="2">
        <v>20016.17</v>
      </c>
      <c r="F190" s="2">
        <v>4423574.0</v>
      </c>
      <c r="G190" s="2">
        <v>207.0</v>
      </c>
      <c r="H190" s="6">
        <f t="shared" si="1"/>
        <v>12009.702</v>
      </c>
      <c r="I190" s="6">
        <f t="shared" si="2"/>
        <v>1769429.428</v>
      </c>
      <c r="J190" s="6">
        <f t="shared" si="3"/>
        <v>221</v>
      </c>
      <c r="K190" s="6">
        <f t="shared" si="4"/>
        <v>20016.17</v>
      </c>
      <c r="L190" s="6">
        <f t="shared" si="5"/>
        <v>4423573.57</v>
      </c>
      <c r="M190" s="6">
        <f t="shared" si="6"/>
        <v>1769429.428</v>
      </c>
    </row>
    <row r="191" ht="15.75" customHeight="1">
      <c r="A191" s="2" t="s">
        <v>20</v>
      </c>
      <c r="B191" s="5" t="s">
        <v>28</v>
      </c>
      <c r="C191" s="2" t="s">
        <v>9</v>
      </c>
      <c r="D191" s="2">
        <v>891.0</v>
      </c>
      <c r="E191" s="2">
        <v>5102.08</v>
      </c>
      <c r="F191" s="2">
        <v>4545956.0</v>
      </c>
      <c r="G191" s="2">
        <v>795.0</v>
      </c>
      <c r="H191" s="6">
        <f t="shared" si="1"/>
        <v>3061.248</v>
      </c>
      <c r="I191" s="6">
        <f t="shared" si="2"/>
        <v>1818381.312</v>
      </c>
      <c r="J191" s="6">
        <f t="shared" si="3"/>
        <v>891</v>
      </c>
      <c r="K191" s="6">
        <f t="shared" si="4"/>
        <v>4591.872</v>
      </c>
      <c r="L191" s="6">
        <f t="shared" si="5"/>
        <v>4091357.952</v>
      </c>
      <c r="M191" s="6">
        <f t="shared" si="6"/>
        <v>1363785.984</v>
      </c>
    </row>
    <row r="192" ht="15.75" customHeight="1">
      <c r="A192" s="2" t="s">
        <v>26</v>
      </c>
      <c r="B192" s="5" t="s">
        <v>29</v>
      </c>
      <c r="C192" s="2" t="s">
        <v>27</v>
      </c>
      <c r="D192" s="2">
        <v>410.0</v>
      </c>
      <c r="E192" s="2">
        <v>1334.13</v>
      </c>
      <c r="F192" s="2">
        <v>546994.0</v>
      </c>
      <c r="G192" s="2">
        <v>317.0</v>
      </c>
      <c r="H192" s="6">
        <f t="shared" si="1"/>
        <v>800.478</v>
      </c>
      <c r="I192" s="6">
        <f t="shared" si="2"/>
        <v>218797.32</v>
      </c>
      <c r="J192" s="6">
        <f t="shared" si="3"/>
        <v>410</v>
      </c>
      <c r="K192" s="6">
        <f t="shared" si="4"/>
        <v>1334.13</v>
      </c>
      <c r="L192" s="6">
        <f t="shared" si="5"/>
        <v>546993.3</v>
      </c>
      <c r="M192" s="6">
        <f t="shared" si="6"/>
        <v>218797.32</v>
      </c>
    </row>
    <row r="193" ht="15.75" customHeight="1">
      <c r="A193" s="2" t="s">
        <v>10</v>
      </c>
      <c r="B193" s="5" t="s">
        <v>22</v>
      </c>
      <c r="C193" s="2" t="s">
        <v>21</v>
      </c>
      <c r="D193" s="2">
        <v>154.0</v>
      </c>
      <c r="E193" s="2">
        <v>20792.98</v>
      </c>
      <c r="F193" s="2">
        <v>3202119.0</v>
      </c>
      <c r="G193" s="2">
        <v>133.0</v>
      </c>
      <c r="H193" s="6">
        <f t="shared" si="1"/>
        <v>12475.788</v>
      </c>
      <c r="I193" s="6">
        <f t="shared" si="2"/>
        <v>1280847.568</v>
      </c>
      <c r="J193" s="6">
        <f t="shared" si="3"/>
        <v>154</v>
      </c>
      <c r="K193" s="6">
        <f t="shared" si="4"/>
        <v>20792.98</v>
      </c>
      <c r="L193" s="6">
        <f t="shared" si="5"/>
        <v>3202118.92</v>
      </c>
      <c r="M193" s="6">
        <f t="shared" si="6"/>
        <v>1280847.568</v>
      </c>
    </row>
    <row r="194" ht="15.75" customHeight="1">
      <c r="A194" s="2" t="s">
        <v>17</v>
      </c>
      <c r="B194" s="5" t="s">
        <v>22</v>
      </c>
      <c r="C194" s="2" t="s">
        <v>9</v>
      </c>
      <c r="D194" s="2">
        <v>911.0</v>
      </c>
      <c r="E194" s="2">
        <v>5421.51</v>
      </c>
      <c r="F194" s="2">
        <v>4938999.0</v>
      </c>
      <c r="G194" s="2">
        <v>649.0</v>
      </c>
      <c r="H194" s="6">
        <f t="shared" si="1"/>
        <v>3252.906</v>
      </c>
      <c r="I194" s="6">
        <f t="shared" si="2"/>
        <v>1975598.244</v>
      </c>
      <c r="J194" s="6">
        <f t="shared" si="3"/>
        <v>911</v>
      </c>
      <c r="K194" s="6">
        <f t="shared" si="4"/>
        <v>4879.359</v>
      </c>
      <c r="L194" s="6">
        <f t="shared" si="5"/>
        <v>4445096.049</v>
      </c>
      <c r="M194" s="6">
        <f t="shared" si="6"/>
        <v>1481698.683</v>
      </c>
    </row>
    <row r="195" ht="15.75" customHeight="1">
      <c r="A195" s="2" t="s">
        <v>15</v>
      </c>
      <c r="B195" s="5" t="s">
        <v>25</v>
      </c>
      <c r="C195" s="2" t="s">
        <v>21</v>
      </c>
      <c r="D195" s="2">
        <v>172.0</v>
      </c>
      <c r="E195" s="2">
        <v>20284.66</v>
      </c>
      <c r="F195" s="2">
        <v>3488961.0</v>
      </c>
      <c r="G195" s="2">
        <v>123.0</v>
      </c>
      <c r="H195" s="6">
        <f t="shared" si="1"/>
        <v>12170.796</v>
      </c>
      <c r="I195" s="6">
        <f t="shared" si="2"/>
        <v>1395584.608</v>
      </c>
      <c r="J195" s="6">
        <f t="shared" si="3"/>
        <v>172</v>
      </c>
      <c r="K195" s="6">
        <f t="shared" si="4"/>
        <v>20284.66</v>
      </c>
      <c r="L195" s="6">
        <f t="shared" si="5"/>
        <v>3488961.52</v>
      </c>
      <c r="M195" s="6">
        <f t="shared" si="6"/>
        <v>1395584.608</v>
      </c>
    </row>
    <row r="196" ht="15.75" customHeight="1">
      <c r="A196" s="2" t="s">
        <v>20</v>
      </c>
      <c r="B196" s="5" t="s">
        <v>31</v>
      </c>
      <c r="C196" s="2" t="s">
        <v>9</v>
      </c>
      <c r="D196" s="2">
        <v>660.0</v>
      </c>
      <c r="E196" s="2">
        <v>5174.61</v>
      </c>
      <c r="F196" s="2">
        <v>3415240.0</v>
      </c>
      <c r="G196" s="2">
        <v>502.0</v>
      </c>
      <c r="H196" s="6">
        <f t="shared" si="1"/>
        <v>3104.766</v>
      </c>
      <c r="I196" s="6">
        <f t="shared" si="2"/>
        <v>1366097.04</v>
      </c>
      <c r="J196" s="6">
        <f t="shared" si="3"/>
        <v>660</v>
      </c>
      <c r="K196" s="6">
        <f t="shared" si="4"/>
        <v>5174.61</v>
      </c>
      <c r="L196" s="6">
        <f t="shared" si="5"/>
        <v>3415242.6</v>
      </c>
      <c r="M196" s="6">
        <f t="shared" si="6"/>
        <v>1366097.04</v>
      </c>
    </row>
    <row r="197" ht="15.75" customHeight="1">
      <c r="A197" s="2" t="s">
        <v>10</v>
      </c>
      <c r="B197" s="5" t="s">
        <v>32</v>
      </c>
      <c r="C197" s="2" t="s">
        <v>9</v>
      </c>
      <c r="D197" s="2">
        <v>707.0</v>
      </c>
      <c r="E197" s="2">
        <v>5662.49</v>
      </c>
      <c r="F197" s="2">
        <v>4003380.0</v>
      </c>
      <c r="G197" s="2">
        <v>617.0</v>
      </c>
      <c r="H197" s="6">
        <f t="shared" si="1"/>
        <v>3397.494</v>
      </c>
      <c r="I197" s="6">
        <f t="shared" si="2"/>
        <v>1601352.172</v>
      </c>
      <c r="J197" s="6">
        <f t="shared" si="3"/>
        <v>707</v>
      </c>
      <c r="K197" s="6">
        <f t="shared" si="4"/>
        <v>5662.49</v>
      </c>
      <c r="L197" s="6">
        <f t="shared" si="5"/>
        <v>4003380.43</v>
      </c>
      <c r="M197" s="6">
        <f t="shared" si="6"/>
        <v>1601352.172</v>
      </c>
    </row>
    <row r="198" ht="15.75" customHeight="1">
      <c r="A198" s="2" t="s">
        <v>17</v>
      </c>
      <c r="B198" s="5" t="s">
        <v>32</v>
      </c>
      <c r="C198" s="2" t="s">
        <v>27</v>
      </c>
      <c r="D198" s="2">
        <v>674.0</v>
      </c>
      <c r="E198" s="2">
        <v>1298.57</v>
      </c>
      <c r="F198" s="2">
        <v>875238.0</v>
      </c>
      <c r="G198" s="2">
        <v>633.0</v>
      </c>
      <c r="H198" s="6">
        <f t="shared" si="1"/>
        <v>779.142</v>
      </c>
      <c r="I198" s="6">
        <f t="shared" si="2"/>
        <v>350094.472</v>
      </c>
      <c r="J198" s="6">
        <f t="shared" si="3"/>
        <v>674</v>
      </c>
      <c r="K198" s="6">
        <f t="shared" si="4"/>
        <v>1298.57</v>
      </c>
      <c r="L198" s="6">
        <f t="shared" si="5"/>
        <v>875236.18</v>
      </c>
      <c r="M198" s="6">
        <f t="shared" si="6"/>
        <v>350094.472</v>
      </c>
    </row>
    <row r="199" ht="15.75" customHeight="1">
      <c r="A199" s="2" t="s">
        <v>20</v>
      </c>
      <c r="B199" s="5" t="s">
        <v>23</v>
      </c>
      <c r="C199" s="2" t="s">
        <v>9</v>
      </c>
      <c r="D199" s="2">
        <v>1096.0</v>
      </c>
      <c r="E199" s="2">
        <v>5181.11</v>
      </c>
      <c r="F199" s="2">
        <v>5678493.0</v>
      </c>
      <c r="G199" s="2">
        <v>817.0</v>
      </c>
      <c r="H199" s="6">
        <f t="shared" si="1"/>
        <v>3108.666</v>
      </c>
      <c r="I199" s="6">
        <f t="shared" si="2"/>
        <v>2271398.624</v>
      </c>
      <c r="J199" s="6">
        <f t="shared" si="3"/>
        <v>1096</v>
      </c>
      <c r="K199" s="6">
        <f t="shared" si="4"/>
        <v>5181.11</v>
      </c>
      <c r="L199" s="6">
        <f t="shared" si="5"/>
        <v>5678496.56</v>
      </c>
      <c r="M199" s="6">
        <f t="shared" si="6"/>
        <v>2271398.624</v>
      </c>
    </row>
    <row r="200" ht="15.75" customHeight="1">
      <c r="A200" s="2" t="s">
        <v>13</v>
      </c>
      <c r="B200" s="5" t="s">
        <v>28</v>
      </c>
      <c r="C200" s="2" t="s">
        <v>27</v>
      </c>
      <c r="D200" s="2">
        <v>1060.0</v>
      </c>
      <c r="E200" s="2">
        <v>1280.48</v>
      </c>
      <c r="F200" s="2">
        <v>1357309.0</v>
      </c>
      <c r="G200" s="2">
        <v>910.0</v>
      </c>
      <c r="H200" s="6">
        <f t="shared" si="1"/>
        <v>768.288</v>
      </c>
      <c r="I200" s="6">
        <f t="shared" si="2"/>
        <v>542923.52</v>
      </c>
      <c r="J200" s="6">
        <f t="shared" si="3"/>
        <v>1060</v>
      </c>
      <c r="K200" s="6">
        <f t="shared" si="4"/>
        <v>1280.48</v>
      </c>
      <c r="L200" s="6">
        <f t="shared" si="5"/>
        <v>1357308.8</v>
      </c>
      <c r="M200" s="6">
        <f t="shared" si="6"/>
        <v>542923.52</v>
      </c>
    </row>
    <row r="201" ht="15.75" customHeight="1">
      <c r="A201" s="2" t="s">
        <v>13</v>
      </c>
      <c r="B201" s="5" t="s">
        <v>25</v>
      </c>
      <c r="C201" s="2" t="s">
        <v>21</v>
      </c>
      <c r="D201" s="2">
        <v>188.0</v>
      </c>
      <c r="E201" s="2">
        <v>22244.2</v>
      </c>
      <c r="F201" s="2">
        <v>4181910.0</v>
      </c>
      <c r="G201" s="2">
        <v>161.0</v>
      </c>
      <c r="H201" s="6">
        <f t="shared" si="1"/>
        <v>13346.52</v>
      </c>
      <c r="I201" s="6">
        <f t="shared" si="2"/>
        <v>1672763.84</v>
      </c>
      <c r="J201" s="6">
        <f t="shared" si="3"/>
        <v>188</v>
      </c>
      <c r="K201" s="6">
        <f t="shared" si="4"/>
        <v>22244.2</v>
      </c>
      <c r="L201" s="6">
        <f t="shared" si="5"/>
        <v>4181909.6</v>
      </c>
      <c r="M201" s="6">
        <f t="shared" si="6"/>
        <v>1672763.84</v>
      </c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71"/>
    <col customWidth="1" min="4" max="4" width="17.43"/>
    <col customWidth="1" min="5" max="5" width="19.71"/>
  </cols>
  <sheetData>
    <row r="1"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/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72"/>
      <c r="HC1" s="72"/>
      <c r="HD1" s="72"/>
    </row>
    <row r="2"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</row>
    <row r="3"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</row>
    <row r="4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</row>
    <row r="5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</row>
    <row r="6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</row>
    <row r="7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</row>
    <row r="8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</row>
    <row r="9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</row>
    <row r="12"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</row>
    <row r="13"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</row>
    <row r="14"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</row>
    <row r="17"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</row>
    <row r="18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</row>
    <row r="19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</row>
    <row r="20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</row>
    <row r="21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</row>
    <row r="22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</row>
    <row r="23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</row>
    <row r="24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</row>
    <row r="25"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</row>
    <row r="26"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</row>
    <row r="27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</row>
    <row r="28"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</row>
    <row r="31"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</row>
    <row r="32"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</row>
    <row r="33"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</row>
    <row r="34"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</row>
    <row r="35"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</row>
    <row r="36"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0"/>
      <c r="GZ120" s="10"/>
      <c r="HA120" s="10"/>
      <c r="HB120" s="10"/>
      <c r="HC120" s="10"/>
      <c r="HD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0"/>
      <c r="GZ121" s="10"/>
      <c r="HA121" s="10"/>
      <c r="HB121" s="10"/>
      <c r="HC121" s="10"/>
      <c r="HD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0"/>
      <c r="GZ135" s="10"/>
      <c r="HA135" s="10"/>
      <c r="HB135" s="10"/>
      <c r="HC135" s="10"/>
      <c r="HD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0"/>
      <c r="GZ148" s="10"/>
      <c r="HA148" s="10"/>
      <c r="HB148" s="10"/>
      <c r="HC148" s="10"/>
      <c r="HD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0"/>
      <c r="GZ151" s="10"/>
      <c r="HA151" s="10"/>
      <c r="HB151" s="10"/>
      <c r="HC151" s="10"/>
      <c r="HD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0"/>
      <c r="GZ152" s="10"/>
      <c r="HA152" s="10"/>
      <c r="HB152" s="10"/>
      <c r="HC152" s="10"/>
      <c r="HD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0"/>
      <c r="GZ153" s="10"/>
      <c r="HA153" s="10"/>
      <c r="HB153" s="10"/>
      <c r="HC153" s="10"/>
      <c r="HD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0"/>
      <c r="GZ154" s="10"/>
      <c r="HA154" s="10"/>
      <c r="HB154" s="10"/>
      <c r="HC154" s="10"/>
      <c r="HD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0"/>
      <c r="GZ155" s="10"/>
      <c r="HA155" s="10"/>
      <c r="HB155" s="10"/>
      <c r="HC155" s="10"/>
      <c r="HD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0"/>
      <c r="GZ156" s="10"/>
      <c r="HA156" s="10"/>
      <c r="HB156" s="10"/>
      <c r="HC156" s="10"/>
      <c r="HD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0"/>
      <c r="GZ157" s="10"/>
      <c r="HA157" s="10"/>
      <c r="HB157" s="10"/>
      <c r="HC157" s="10"/>
      <c r="HD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0"/>
      <c r="GZ162" s="10"/>
      <c r="HA162" s="10"/>
      <c r="HB162" s="10"/>
      <c r="HC162" s="10"/>
      <c r="HD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0"/>
      <c r="GZ163" s="10"/>
      <c r="HA163" s="10"/>
      <c r="HB163" s="10"/>
      <c r="HC163" s="10"/>
      <c r="HD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0"/>
      <c r="GZ164" s="10"/>
      <c r="HA164" s="10"/>
      <c r="HB164" s="10"/>
      <c r="HC164" s="10"/>
      <c r="HD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/>
      <c r="GQ165" s="10"/>
      <c r="GR165" s="10"/>
      <c r="GS165" s="10"/>
      <c r="GT165" s="10"/>
      <c r="GU165" s="10"/>
      <c r="GV165" s="10"/>
      <c r="GW165" s="10"/>
      <c r="GX165" s="10"/>
      <c r="GY165" s="10"/>
      <c r="GZ165" s="10"/>
      <c r="HA165" s="10"/>
      <c r="HB165" s="10"/>
      <c r="HC165" s="10"/>
      <c r="HD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  <c r="GP166" s="10"/>
      <c r="GQ166" s="10"/>
      <c r="GR166" s="10"/>
      <c r="GS166" s="10"/>
      <c r="GT166" s="10"/>
      <c r="GU166" s="10"/>
      <c r="GV166" s="10"/>
      <c r="GW166" s="10"/>
      <c r="GX166" s="10"/>
      <c r="GY166" s="10"/>
      <c r="GZ166" s="10"/>
      <c r="HA166" s="10"/>
      <c r="HB166" s="10"/>
      <c r="HC166" s="10"/>
      <c r="HD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0"/>
      <c r="GZ167" s="10"/>
      <c r="HA167" s="10"/>
      <c r="HB167" s="10"/>
      <c r="HC167" s="10"/>
      <c r="HD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/>
      <c r="GQ168" s="10"/>
      <c r="GR168" s="10"/>
      <c r="GS168" s="10"/>
      <c r="GT168" s="10"/>
      <c r="GU168" s="10"/>
      <c r="GV168" s="10"/>
      <c r="GW168" s="10"/>
      <c r="GX168" s="10"/>
      <c r="GY168" s="10"/>
      <c r="GZ168" s="10"/>
      <c r="HA168" s="10"/>
      <c r="HB168" s="10"/>
      <c r="HC168" s="10"/>
      <c r="HD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/>
      <c r="GQ169" s="10"/>
      <c r="GR169" s="10"/>
      <c r="GS169" s="10"/>
      <c r="GT169" s="10"/>
      <c r="GU169" s="10"/>
      <c r="GV169" s="10"/>
      <c r="GW169" s="10"/>
      <c r="GX169" s="10"/>
      <c r="GY169" s="10"/>
      <c r="GZ169" s="10"/>
      <c r="HA169" s="10"/>
      <c r="HB169" s="10"/>
      <c r="HC169" s="10"/>
      <c r="HD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  <c r="GP170" s="10"/>
      <c r="GQ170" s="10"/>
      <c r="GR170" s="10"/>
      <c r="GS170" s="10"/>
      <c r="GT170" s="10"/>
      <c r="GU170" s="10"/>
      <c r="GV170" s="10"/>
      <c r="GW170" s="10"/>
      <c r="GX170" s="10"/>
      <c r="GY170" s="10"/>
      <c r="GZ170" s="10"/>
      <c r="HA170" s="10"/>
      <c r="HB170" s="10"/>
      <c r="HC170" s="10"/>
      <c r="HD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0"/>
      <c r="GZ171" s="10"/>
      <c r="HA171" s="10"/>
      <c r="HB171" s="10"/>
      <c r="HC171" s="10"/>
      <c r="HD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/>
      <c r="GQ172" s="10"/>
      <c r="GR172" s="10"/>
      <c r="GS172" s="10"/>
      <c r="GT172" s="10"/>
      <c r="GU172" s="10"/>
      <c r="GV172" s="10"/>
      <c r="GW172" s="10"/>
      <c r="GX172" s="10"/>
      <c r="GY172" s="10"/>
      <c r="GZ172" s="10"/>
      <c r="HA172" s="10"/>
      <c r="HB172" s="10"/>
      <c r="HC172" s="10"/>
      <c r="HD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0"/>
      <c r="GZ173" s="10"/>
      <c r="HA173" s="10"/>
      <c r="HB173" s="10"/>
      <c r="HC173" s="10"/>
      <c r="HD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/>
      <c r="GQ174" s="10"/>
      <c r="GR174" s="10"/>
      <c r="GS174" s="10"/>
      <c r="GT174" s="10"/>
      <c r="GU174" s="10"/>
      <c r="GV174" s="10"/>
      <c r="GW174" s="10"/>
      <c r="GX174" s="10"/>
      <c r="GY174" s="10"/>
      <c r="GZ174" s="10"/>
      <c r="HA174" s="10"/>
      <c r="HB174" s="10"/>
      <c r="HC174" s="10"/>
      <c r="HD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0"/>
      <c r="GZ175" s="10"/>
      <c r="HA175" s="10"/>
      <c r="HB175" s="10"/>
      <c r="HC175" s="10"/>
      <c r="HD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0"/>
      <c r="GZ176" s="10"/>
      <c r="HA176" s="10"/>
      <c r="HB176" s="10"/>
      <c r="HC176" s="10"/>
      <c r="HD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0"/>
      <c r="GZ177" s="10"/>
      <c r="HA177" s="10"/>
      <c r="HB177" s="10"/>
      <c r="HC177" s="10"/>
      <c r="HD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/>
      <c r="GQ178" s="10"/>
      <c r="GR178" s="10"/>
      <c r="GS178" s="10"/>
      <c r="GT178" s="10"/>
      <c r="GU178" s="10"/>
      <c r="GV178" s="10"/>
      <c r="GW178" s="10"/>
      <c r="GX178" s="10"/>
      <c r="GY178" s="10"/>
      <c r="GZ178" s="10"/>
      <c r="HA178" s="10"/>
      <c r="HB178" s="10"/>
      <c r="HC178" s="10"/>
      <c r="HD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/>
      <c r="GQ179" s="10"/>
      <c r="GR179" s="10"/>
      <c r="GS179" s="10"/>
      <c r="GT179" s="10"/>
      <c r="GU179" s="10"/>
      <c r="GV179" s="10"/>
      <c r="GW179" s="10"/>
      <c r="GX179" s="10"/>
      <c r="GY179" s="10"/>
      <c r="GZ179" s="10"/>
      <c r="HA179" s="10"/>
      <c r="HB179" s="10"/>
      <c r="HC179" s="10"/>
      <c r="HD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0"/>
      <c r="GZ180" s="10"/>
      <c r="HA180" s="10"/>
      <c r="HB180" s="10"/>
      <c r="HC180" s="10"/>
      <c r="HD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/>
      <c r="GQ181" s="10"/>
      <c r="GR181" s="10"/>
      <c r="GS181" s="10"/>
      <c r="GT181" s="10"/>
      <c r="GU181" s="10"/>
      <c r="GV181" s="10"/>
      <c r="GW181" s="10"/>
      <c r="GX181" s="10"/>
      <c r="GY181" s="10"/>
      <c r="GZ181" s="10"/>
      <c r="HA181" s="10"/>
      <c r="HB181" s="10"/>
      <c r="HC181" s="10"/>
      <c r="HD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/>
      <c r="GQ182" s="10"/>
      <c r="GR182" s="10"/>
      <c r="GS182" s="10"/>
      <c r="GT182" s="10"/>
      <c r="GU182" s="10"/>
      <c r="GV182" s="10"/>
      <c r="GW182" s="10"/>
      <c r="GX182" s="10"/>
      <c r="GY182" s="10"/>
      <c r="GZ182" s="10"/>
      <c r="HA182" s="10"/>
      <c r="HB182" s="10"/>
      <c r="HC182" s="10"/>
      <c r="HD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0"/>
      <c r="GZ183" s="10"/>
      <c r="HA183" s="10"/>
      <c r="HB183" s="10"/>
      <c r="HC183" s="10"/>
      <c r="HD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0"/>
      <c r="GZ184" s="10"/>
      <c r="HA184" s="10"/>
      <c r="HB184" s="10"/>
      <c r="HC184" s="10"/>
      <c r="HD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0"/>
      <c r="GZ185" s="10"/>
      <c r="HA185" s="10"/>
      <c r="HB185" s="10"/>
      <c r="HC185" s="10"/>
      <c r="HD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0"/>
      <c r="GZ186" s="10"/>
      <c r="HA186" s="10"/>
      <c r="HB186" s="10"/>
      <c r="HC186" s="10"/>
      <c r="HD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0"/>
      <c r="GZ187" s="10"/>
      <c r="HA187" s="10"/>
      <c r="HB187" s="10"/>
      <c r="HC187" s="10"/>
      <c r="HD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0"/>
      <c r="GZ188" s="10"/>
      <c r="HA188" s="10"/>
      <c r="HB188" s="10"/>
      <c r="HC188" s="10"/>
      <c r="HD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0"/>
      <c r="GZ189" s="10"/>
      <c r="HA189" s="10"/>
      <c r="HB189" s="10"/>
      <c r="HC189" s="10"/>
      <c r="HD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0"/>
      <c r="GZ190" s="10"/>
      <c r="HA190" s="10"/>
      <c r="HB190" s="10"/>
      <c r="HC190" s="10"/>
      <c r="HD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0"/>
      <c r="GZ191" s="10"/>
      <c r="HA191" s="10"/>
      <c r="HB191" s="10"/>
      <c r="HC191" s="10"/>
      <c r="HD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0"/>
      <c r="GZ192" s="10"/>
      <c r="HA192" s="10"/>
      <c r="HB192" s="10"/>
      <c r="HC192" s="10"/>
      <c r="HD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0"/>
      <c r="GZ193" s="10"/>
      <c r="HA193" s="10"/>
      <c r="HB193" s="10"/>
      <c r="HC193" s="10"/>
      <c r="HD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0"/>
      <c r="GZ194" s="10"/>
      <c r="HA194" s="10"/>
      <c r="HB194" s="10"/>
      <c r="HC194" s="10"/>
      <c r="HD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0"/>
      <c r="GZ195" s="10"/>
      <c r="HA195" s="10"/>
      <c r="HB195" s="10"/>
      <c r="HC195" s="10"/>
      <c r="HD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0"/>
      <c r="GZ196" s="10"/>
      <c r="HA196" s="10"/>
      <c r="HB196" s="10"/>
      <c r="HC196" s="10"/>
      <c r="HD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0"/>
      <c r="GZ197" s="10"/>
      <c r="HA197" s="10"/>
      <c r="HB197" s="10"/>
      <c r="HC197" s="10"/>
      <c r="HD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0"/>
      <c r="GZ198" s="10"/>
      <c r="HA198" s="10"/>
      <c r="HB198" s="10"/>
      <c r="HC198" s="10"/>
      <c r="HD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0"/>
      <c r="GZ199" s="10"/>
      <c r="HA199" s="10"/>
      <c r="HB199" s="10"/>
      <c r="HC199" s="10"/>
      <c r="HD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0"/>
      <c r="GZ200" s="10"/>
      <c r="HA200" s="10"/>
      <c r="HB200" s="10"/>
      <c r="HC200" s="10"/>
      <c r="HD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0"/>
      <c r="GZ201" s="10"/>
      <c r="HA201" s="10"/>
      <c r="HB201" s="10"/>
      <c r="HC201" s="10"/>
      <c r="HD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0"/>
      <c r="GZ202" s="10"/>
      <c r="HA202" s="10"/>
      <c r="HB202" s="10"/>
      <c r="HC202" s="10"/>
      <c r="HD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0"/>
      <c r="GZ203" s="10"/>
      <c r="HA203" s="10"/>
      <c r="HB203" s="10"/>
      <c r="HC203" s="10"/>
      <c r="HD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0"/>
      <c r="GZ204" s="10"/>
      <c r="HA204" s="10"/>
      <c r="HB204" s="10"/>
      <c r="HC204" s="10"/>
      <c r="HD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/>
      <c r="GQ206" s="10"/>
      <c r="GR206" s="10"/>
      <c r="GS206" s="10"/>
      <c r="GT206" s="10"/>
      <c r="GU206" s="10"/>
      <c r="GV206" s="10"/>
      <c r="GW206" s="10"/>
      <c r="GX206" s="10"/>
      <c r="GY206" s="10"/>
      <c r="GZ206" s="10"/>
      <c r="HA206" s="10"/>
      <c r="HB206" s="10"/>
      <c r="HC206" s="10"/>
      <c r="HD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0"/>
      <c r="GZ208" s="10"/>
      <c r="HA208" s="10"/>
      <c r="HB208" s="10"/>
      <c r="HC208" s="10"/>
      <c r="HD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0"/>
      <c r="GZ210" s="10"/>
      <c r="HA210" s="10"/>
      <c r="HB210" s="10"/>
      <c r="HC210" s="10"/>
      <c r="HD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  <c r="GS214" s="10"/>
      <c r="GT214" s="10"/>
      <c r="GU214" s="10"/>
      <c r="GV214" s="10"/>
      <c r="GW214" s="10"/>
      <c r="GX214" s="10"/>
      <c r="GY214" s="10"/>
      <c r="GZ214" s="10"/>
      <c r="HA214" s="10"/>
      <c r="HB214" s="10"/>
      <c r="HC214" s="10"/>
      <c r="HD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0"/>
      <c r="GZ216" s="10"/>
      <c r="HA216" s="10"/>
      <c r="HB216" s="10"/>
      <c r="HC216" s="10"/>
      <c r="HD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0"/>
      <c r="GZ218" s="10"/>
      <c r="HA218" s="10"/>
      <c r="HB218" s="10"/>
      <c r="HC218" s="10"/>
      <c r="HD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/>
      <c r="GQ220" s="10"/>
      <c r="GR220" s="10"/>
      <c r="GS220" s="10"/>
      <c r="GT220" s="10"/>
      <c r="GU220" s="10"/>
      <c r="GV220" s="10"/>
      <c r="GW220" s="10"/>
      <c r="GX220" s="10"/>
      <c r="GY220" s="10"/>
      <c r="GZ220" s="10"/>
      <c r="HA220" s="10"/>
      <c r="HB220" s="10"/>
      <c r="HC220" s="10"/>
      <c r="HD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0"/>
      <c r="GZ222" s="10"/>
      <c r="HA222" s="10"/>
      <c r="HB222" s="10"/>
      <c r="HC222" s="10"/>
      <c r="HD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0"/>
      <c r="GZ225" s="10"/>
      <c r="HA225" s="10"/>
      <c r="HB225" s="10"/>
      <c r="HC225" s="10"/>
      <c r="HD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/>
      <c r="GQ226" s="10"/>
      <c r="GR226" s="10"/>
      <c r="GS226" s="10"/>
      <c r="GT226" s="10"/>
      <c r="GU226" s="10"/>
      <c r="GV226" s="10"/>
      <c r="GW226" s="10"/>
      <c r="GX226" s="10"/>
      <c r="GY226" s="10"/>
      <c r="GZ226" s="10"/>
      <c r="HA226" s="10"/>
      <c r="HB226" s="10"/>
      <c r="HC226" s="10"/>
      <c r="HD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/>
      <c r="GQ227" s="10"/>
      <c r="GR227" s="10"/>
      <c r="GS227" s="10"/>
      <c r="GT227" s="10"/>
      <c r="GU227" s="10"/>
      <c r="GV227" s="10"/>
      <c r="GW227" s="10"/>
      <c r="GX227" s="10"/>
      <c r="GY227" s="10"/>
      <c r="GZ227" s="10"/>
      <c r="HA227" s="10"/>
      <c r="HB227" s="10"/>
      <c r="HC227" s="10"/>
      <c r="HD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/>
      <c r="GQ228" s="10"/>
      <c r="GR228" s="10"/>
      <c r="GS228" s="10"/>
      <c r="GT228" s="10"/>
      <c r="GU228" s="10"/>
      <c r="GV228" s="10"/>
      <c r="GW228" s="10"/>
      <c r="GX228" s="10"/>
      <c r="GY228" s="10"/>
      <c r="GZ228" s="10"/>
      <c r="HA228" s="10"/>
      <c r="HB228" s="10"/>
      <c r="HC228" s="10"/>
      <c r="HD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/>
      <c r="GQ229" s="10"/>
      <c r="GR229" s="10"/>
      <c r="GS229" s="10"/>
      <c r="GT229" s="10"/>
      <c r="GU229" s="10"/>
      <c r="GV229" s="10"/>
      <c r="GW229" s="10"/>
      <c r="GX229" s="10"/>
      <c r="GY229" s="10"/>
      <c r="GZ229" s="10"/>
      <c r="HA229" s="10"/>
      <c r="HB229" s="10"/>
      <c r="HC229" s="10"/>
      <c r="HD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/>
      <c r="GQ230" s="10"/>
      <c r="GR230" s="10"/>
      <c r="GS230" s="10"/>
      <c r="GT230" s="10"/>
      <c r="GU230" s="10"/>
      <c r="GV230" s="10"/>
      <c r="GW230" s="10"/>
      <c r="GX230" s="10"/>
      <c r="GY230" s="10"/>
      <c r="GZ230" s="10"/>
      <c r="HA230" s="10"/>
      <c r="HB230" s="10"/>
      <c r="HC230" s="10"/>
      <c r="HD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/>
      <c r="GQ231" s="10"/>
      <c r="GR231" s="10"/>
      <c r="GS231" s="10"/>
      <c r="GT231" s="10"/>
      <c r="GU231" s="10"/>
      <c r="GV231" s="10"/>
      <c r="GW231" s="10"/>
      <c r="GX231" s="10"/>
      <c r="GY231" s="10"/>
      <c r="GZ231" s="10"/>
      <c r="HA231" s="10"/>
      <c r="HB231" s="10"/>
      <c r="HC231" s="10"/>
      <c r="HD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/>
      <c r="GQ232" s="10"/>
      <c r="GR232" s="10"/>
      <c r="GS232" s="10"/>
      <c r="GT232" s="10"/>
      <c r="GU232" s="10"/>
      <c r="GV232" s="10"/>
      <c r="GW232" s="10"/>
      <c r="GX232" s="10"/>
      <c r="GY232" s="10"/>
      <c r="GZ232" s="10"/>
      <c r="HA232" s="10"/>
      <c r="HB232" s="10"/>
      <c r="HC232" s="10"/>
      <c r="HD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0"/>
      <c r="GZ233" s="10"/>
      <c r="HA233" s="10"/>
      <c r="HB233" s="10"/>
      <c r="HC233" s="10"/>
      <c r="HD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/>
      <c r="GQ234" s="10"/>
      <c r="GR234" s="10"/>
      <c r="GS234" s="10"/>
      <c r="GT234" s="10"/>
      <c r="GU234" s="10"/>
      <c r="GV234" s="10"/>
      <c r="GW234" s="10"/>
      <c r="GX234" s="10"/>
      <c r="GY234" s="10"/>
      <c r="GZ234" s="10"/>
      <c r="HA234" s="10"/>
      <c r="HB234" s="10"/>
      <c r="HC234" s="10"/>
      <c r="HD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/>
      <c r="GQ235" s="10"/>
      <c r="GR235" s="10"/>
      <c r="GS235" s="10"/>
      <c r="GT235" s="10"/>
      <c r="GU235" s="10"/>
      <c r="GV235" s="10"/>
      <c r="GW235" s="10"/>
      <c r="GX235" s="10"/>
      <c r="GY235" s="10"/>
      <c r="GZ235" s="10"/>
      <c r="HA235" s="10"/>
      <c r="HB235" s="10"/>
      <c r="HC235" s="10"/>
      <c r="HD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/>
      <c r="GQ236" s="10"/>
      <c r="GR236" s="10"/>
      <c r="GS236" s="10"/>
      <c r="GT236" s="10"/>
      <c r="GU236" s="10"/>
      <c r="GV236" s="10"/>
      <c r="GW236" s="10"/>
      <c r="GX236" s="10"/>
      <c r="GY236" s="10"/>
      <c r="GZ236" s="10"/>
      <c r="HA236" s="10"/>
      <c r="HB236" s="10"/>
      <c r="HC236" s="10"/>
      <c r="HD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/>
      <c r="GQ237" s="10"/>
      <c r="GR237" s="10"/>
      <c r="GS237" s="10"/>
      <c r="GT237" s="10"/>
      <c r="GU237" s="10"/>
      <c r="GV237" s="10"/>
      <c r="GW237" s="10"/>
      <c r="GX237" s="10"/>
      <c r="GY237" s="10"/>
      <c r="GZ237" s="10"/>
      <c r="HA237" s="10"/>
      <c r="HB237" s="10"/>
      <c r="HC237" s="10"/>
      <c r="HD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/>
      <c r="GQ238" s="10"/>
      <c r="GR238" s="10"/>
      <c r="GS238" s="10"/>
      <c r="GT238" s="10"/>
      <c r="GU238" s="10"/>
      <c r="GV238" s="10"/>
      <c r="GW238" s="10"/>
      <c r="GX238" s="10"/>
      <c r="GY238" s="10"/>
      <c r="GZ238" s="10"/>
      <c r="HA238" s="10"/>
      <c r="HB238" s="10"/>
      <c r="HC238" s="10"/>
      <c r="HD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  <c r="GP239" s="10"/>
      <c r="GQ239" s="10"/>
      <c r="GR239" s="10"/>
      <c r="GS239" s="10"/>
      <c r="GT239" s="10"/>
      <c r="GU239" s="10"/>
      <c r="GV239" s="10"/>
      <c r="GW239" s="10"/>
      <c r="GX239" s="10"/>
      <c r="GY239" s="10"/>
      <c r="GZ239" s="10"/>
      <c r="HA239" s="10"/>
      <c r="HB239" s="10"/>
      <c r="HC239" s="10"/>
      <c r="HD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  <c r="GP240" s="10"/>
      <c r="GQ240" s="10"/>
      <c r="GR240" s="10"/>
      <c r="GS240" s="10"/>
      <c r="GT240" s="10"/>
      <c r="GU240" s="10"/>
      <c r="GV240" s="10"/>
      <c r="GW240" s="10"/>
      <c r="GX240" s="10"/>
      <c r="GY240" s="10"/>
      <c r="GZ240" s="10"/>
      <c r="HA240" s="10"/>
      <c r="HB240" s="10"/>
      <c r="HC240" s="10"/>
      <c r="HD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/>
      <c r="GQ241" s="10"/>
      <c r="GR241" s="10"/>
      <c r="GS241" s="10"/>
      <c r="GT241" s="10"/>
      <c r="GU241" s="10"/>
      <c r="GV241" s="10"/>
      <c r="GW241" s="10"/>
      <c r="GX241" s="10"/>
      <c r="GY241" s="10"/>
      <c r="GZ241" s="10"/>
      <c r="HA241" s="10"/>
      <c r="HB241" s="10"/>
      <c r="HC241" s="10"/>
      <c r="HD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  <c r="GP242" s="10"/>
      <c r="GQ242" s="10"/>
      <c r="GR242" s="10"/>
      <c r="GS242" s="10"/>
      <c r="GT242" s="10"/>
      <c r="GU242" s="10"/>
      <c r="GV242" s="10"/>
      <c r="GW242" s="10"/>
      <c r="GX242" s="10"/>
      <c r="GY242" s="10"/>
      <c r="GZ242" s="10"/>
      <c r="HA242" s="10"/>
      <c r="HB242" s="10"/>
      <c r="HC242" s="10"/>
      <c r="HD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/>
      <c r="GQ243" s="10"/>
      <c r="GR243" s="10"/>
      <c r="GS243" s="10"/>
      <c r="GT243" s="10"/>
      <c r="GU243" s="10"/>
      <c r="GV243" s="10"/>
      <c r="GW243" s="10"/>
      <c r="GX243" s="10"/>
      <c r="GY243" s="10"/>
      <c r="GZ243" s="10"/>
      <c r="HA243" s="10"/>
      <c r="HB243" s="10"/>
      <c r="HC243" s="10"/>
      <c r="HD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/>
      <c r="GQ244" s="10"/>
      <c r="GR244" s="10"/>
      <c r="GS244" s="10"/>
      <c r="GT244" s="10"/>
      <c r="GU244" s="10"/>
      <c r="GV244" s="10"/>
      <c r="GW244" s="10"/>
      <c r="GX244" s="10"/>
      <c r="GY244" s="10"/>
      <c r="GZ244" s="10"/>
      <c r="HA244" s="10"/>
      <c r="HB244" s="10"/>
      <c r="HC244" s="10"/>
      <c r="HD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  <c r="GP245" s="10"/>
      <c r="GQ245" s="10"/>
      <c r="GR245" s="10"/>
      <c r="GS245" s="10"/>
      <c r="GT245" s="10"/>
      <c r="GU245" s="10"/>
      <c r="GV245" s="10"/>
      <c r="GW245" s="10"/>
      <c r="GX245" s="10"/>
      <c r="GY245" s="10"/>
      <c r="GZ245" s="10"/>
      <c r="HA245" s="10"/>
      <c r="HB245" s="10"/>
      <c r="HC245" s="10"/>
      <c r="HD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/>
      <c r="GQ246" s="10"/>
      <c r="GR246" s="10"/>
      <c r="GS246" s="10"/>
      <c r="GT246" s="10"/>
      <c r="GU246" s="10"/>
      <c r="GV246" s="10"/>
      <c r="GW246" s="10"/>
      <c r="GX246" s="10"/>
      <c r="GY246" s="10"/>
      <c r="GZ246" s="10"/>
      <c r="HA246" s="10"/>
      <c r="HB246" s="10"/>
      <c r="HC246" s="10"/>
      <c r="HD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/>
      <c r="GQ247" s="10"/>
      <c r="GR247" s="10"/>
      <c r="GS247" s="10"/>
      <c r="GT247" s="10"/>
      <c r="GU247" s="10"/>
      <c r="GV247" s="10"/>
      <c r="GW247" s="10"/>
      <c r="GX247" s="10"/>
      <c r="GY247" s="10"/>
      <c r="GZ247" s="10"/>
      <c r="HA247" s="10"/>
      <c r="HB247" s="10"/>
      <c r="HC247" s="10"/>
      <c r="HD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/>
      <c r="GQ248" s="10"/>
      <c r="GR248" s="10"/>
      <c r="GS248" s="10"/>
      <c r="GT248" s="10"/>
      <c r="GU248" s="10"/>
      <c r="GV248" s="10"/>
      <c r="GW248" s="10"/>
      <c r="GX248" s="10"/>
      <c r="GY248" s="10"/>
      <c r="GZ248" s="10"/>
      <c r="HA248" s="10"/>
      <c r="HB248" s="10"/>
      <c r="HC248" s="10"/>
      <c r="HD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  <c r="GP249" s="10"/>
      <c r="GQ249" s="10"/>
      <c r="GR249" s="10"/>
      <c r="GS249" s="10"/>
      <c r="GT249" s="10"/>
      <c r="GU249" s="10"/>
      <c r="GV249" s="10"/>
      <c r="GW249" s="10"/>
      <c r="GX249" s="10"/>
      <c r="GY249" s="10"/>
      <c r="GZ249" s="10"/>
      <c r="HA249" s="10"/>
      <c r="HB249" s="10"/>
      <c r="HC249" s="10"/>
      <c r="HD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/>
      <c r="GQ250" s="10"/>
      <c r="GR250" s="10"/>
      <c r="GS250" s="10"/>
      <c r="GT250" s="10"/>
      <c r="GU250" s="10"/>
      <c r="GV250" s="10"/>
      <c r="GW250" s="10"/>
      <c r="GX250" s="10"/>
      <c r="GY250" s="10"/>
      <c r="GZ250" s="10"/>
      <c r="HA250" s="10"/>
      <c r="HB250" s="10"/>
      <c r="HC250" s="10"/>
      <c r="HD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/>
      <c r="GQ251" s="10"/>
      <c r="GR251" s="10"/>
      <c r="GS251" s="10"/>
      <c r="GT251" s="10"/>
      <c r="GU251" s="10"/>
      <c r="GV251" s="10"/>
      <c r="GW251" s="10"/>
      <c r="GX251" s="10"/>
      <c r="GY251" s="10"/>
      <c r="GZ251" s="10"/>
      <c r="HA251" s="10"/>
      <c r="HB251" s="10"/>
      <c r="HC251" s="10"/>
      <c r="HD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  <c r="GP252" s="10"/>
      <c r="GQ252" s="10"/>
      <c r="GR252" s="10"/>
      <c r="GS252" s="10"/>
      <c r="GT252" s="10"/>
      <c r="GU252" s="10"/>
      <c r="GV252" s="10"/>
      <c r="GW252" s="10"/>
      <c r="GX252" s="10"/>
      <c r="GY252" s="10"/>
      <c r="GZ252" s="10"/>
      <c r="HA252" s="10"/>
      <c r="HB252" s="10"/>
      <c r="HC252" s="10"/>
      <c r="HD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  <c r="GP253" s="10"/>
      <c r="GQ253" s="10"/>
      <c r="GR253" s="10"/>
      <c r="GS253" s="10"/>
      <c r="GT253" s="10"/>
      <c r="GU253" s="10"/>
      <c r="GV253" s="10"/>
      <c r="GW253" s="10"/>
      <c r="GX253" s="10"/>
      <c r="GY253" s="10"/>
      <c r="GZ253" s="10"/>
      <c r="HA253" s="10"/>
      <c r="HB253" s="10"/>
      <c r="HC253" s="10"/>
      <c r="HD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  <c r="GP254" s="10"/>
      <c r="GQ254" s="10"/>
      <c r="GR254" s="10"/>
      <c r="GS254" s="10"/>
      <c r="GT254" s="10"/>
      <c r="GU254" s="10"/>
      <c r="GV254" s="10"/>
      <c r="GW254" s="10"/>
      <c r="GX254" s="10"/>
      <c r="GY254" s="10"/>
      <c r="GZ254" s="10"/>
      <c r="HA254" s="10"/>
      <c r="HB254" s="10"/>
      <c r="HC254" s="10"/>
      <c r="HD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/>
      <c r="GQ255" s="10"/>
      <c r="GR255" s="10"/>
      <c r="GS255" s="10"/>
      <c r="GT255" s="10"/>
      <c r="GU255" s="10"/>
      <c r="GV255" s="10"/>
      <c r="GW255" s="10"/>
      <c r="GX255" s="10"/>
      <c r="GY255" s="10"/>
      <c r="GZ255" s="10"/>
      <c r="HA255" s="10"/>
      <c r="HB255" s="10"/>
      <c r="HC255" s="10"/>
      <c r="HD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/>
      <c r="GQ256" s="10"/>
      <c r="GR256" s="10"/>
      <c r="GS256" s="10"/>
      <c r="GT256" s="10"/>
      <c r="GU256" s="10"/>
      <c r="GV256" s="10"/>
      <c r="GW256" s="10"/>
      <c r="GX256" s="10"/>
      <c r="GY256" s="10"/>
      <c r="GZ256" s="10"/>
      <c r="HA256" s="10"/>
      <c r="HB256" s="10"/>
      <c r="HC256" s="10"/>
      <c r="HD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/>
      <c r="GQ257" s="10"/>
      <c r="GR257" s="10"/>
      <c r="GS257" s="10"/>
      <c r="GT257" s="10"/>
      <c r="GU257" s="10"/>
      <c r="GV257" s="10"/>
      <c r="GW257" s="10"/>
      <c r="GX257" s="10"/>
      <c r="GY257" s="10"/>
      <c r="GZ257" s="10"/>
      <c r="HA257" s="10"/>
      <c r="HB257" s="10"/>
      <c r="HC257" s="10"/>
      <c r="HD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/>
      <c r="GQ258" s="10"/>
      <c r="GR258" s="10"/>
      <c r="GS258" s="10"/>
      <c r="GT258" s="10"/>
      <c r="GU258" s="10"/>
      <c r="GV258" s="10"/>
      <c r="GW258" s="10"/>
      <c r="GX258" s="10"/>
      <c r="GY258" s="10"/>
      <c r="GZ258" s="10"/>
      <c r="HA258" s="10"/>
      <c r="HB258" s="10"/>
      <c r="HC258" s="10"/>
      <c r="HD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/>
      <c r="GQ259" s="10"/>
      <c r="GR259" s="10"/>
      <c r="GS259" s="10"/>
      <c r="GT259" s="10"/>
      <c r="GU259" s="10"/>
      <c r="GV259" s="10"/>
      <c r="GW259" s="10"/>
      <c r="GX259" s="10"/>
      <c r="GY259" s="10"/>
      <c r="GZ259" s="10"/>
      <c r="HA259" s="10"/>
      <c r="HB259" s="10"/>
      <c r="HC259" s="10"/>
      <c r="HD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  <c r="GP260" s="10"/>
      <c r="GQ260" s="10"/>
      <c r="GR260" s="10"/>
      <c r="GS260" s="10"/>
      <c r="GT260" s="10"/>
      <c r="GU260" s="10"/>
      <c r="GV260" s="10"/>
      <c r="GW260" s="10"/>
      <c r="GX260" s="10"/>
      <c r="GY260" s="10"/>
      <c r="GZ260" s="10"/>
      <c r="HA260" s="10"/>
      <c r="HB260" s="10"/>
      <c r="HC260" s="10"/>
      <c r="HD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  <c r="GP261" s="10"/>
      <c r="GQ261" s="10"/>
      <c r="GR261" s="10"/>
      <c r="GS261" s="10"/>
      <c r="GT261" s="10"/>
      <c r="GU261" s="10"/>
      <c r="GV261" s="10"/>
      <c r="GW261" s="10"/>
      <c r="GX261" s="10"/>
      <c r="GY261" s="10"/>
      <c r="GZ261" s="10"/>
      <c r="HA261" s="10"/>
      <c r="HB261" s="10"/>
      <c r="HC261" s="10"/>
      <c r="HD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  <c r="GP262" s="10"/>
      <c r="GQ262" s="10"/>
      <c r="GR262" s="10"/>
      <c r="GS262" s="10"/>
      <c r="GT262" s="10"/>
      <c r="GU262" s="10"/>
      <c r="GV262" s="10"/>
      <c r="GW262" s="10"/>
      <c r="GX262" s="10"/>
      <c r="GY262" s="10"/>
      <c r="GZ262" s="10"/>
      <c r="HA262" s="10"/>
      <c r="HB262" s="10"/>
      <c r="HC262" s="10"/>
      <c r="HD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  <c r="GP263" s="10"/>
      <c r="GQ263" s="10"/>
      <c r="GR263" s="10"/>
      <c r="GS263" s="10"/>
      <c r="GT263" s="10"/>
      <c r="GU263" s="10"/>
      <c r="GV263" s="10"/>
      <c r="GW263" s="10"/>
      <c r="GX263" s="10"/>
      <c r="GY263" s="10"/>
      <c r="GZ263" s="10"/>
      <c r="HA263" s="10"/>
      <c r="HB263" s="10"/>
      <c r="HC263" s="10"/>
      <c r="HD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  <c r="GQ264" s="10"/>
      <c r="GR264" s="10"/>
      <c r="GS264" s="10"/>
      <c r="GT264" s="10"/>
      <c r="GU264" s="10"/>
      <c r="GV264" s="10"/>
      <c r="GW264" s="10"/>
      <c r="GX264" s="10"/>
      <c r="GY264" s="10"/>
      <c r="GZ264" s="10"/>
      <c r="HA264" s="10"/>
      <c r="HB264" s="10"/>
      <c r="HC264" s="10"/>
      <c r="HD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  <c r="GQ265" s="10"/>
      <c r="GR265" s="10"/>
      <c r="GS265" s="10"/>
      <c r="GT265" s="10"/>
      <c r="GU265" s="10"/>
      <c r="GV265" s="10"/>
      <c r="GW265" s="10"/>
      <c r="GX265" s="10"/>
      <c r="GY265" s="10"/>
      <c r="GZ265" s="10"/>
      <c r="HA265" s="10"/>
      <c r="HB265" s="10"/>
      <c r="HC265" s="10"/>
      <c r="HD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  <c r="GQ266" s="10"/>
      <c r="GR266" s="10"/>
      <c r="GS266" s="10"/>
      <c r="GT266" s="10"/>
      <c r="GU266" s="10"/>
      <c r="GV266" s="10"/>
      <c r="GW266" s="10"/>
      <c r="GX266" s="10"/>
      <c r="GY266" s="10"/>
      <c r="GZ266" s="10"/>
      <c r="HA266" s="10"/>
      <c r="HB266" s="10"/>
      <c r="HC266" s="10"/>
      <c r="HD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  <c r="GQ267" s="10"/>
      <c r="GR267" s="10"/>
      <c r="GS267" s="10"/>
      <c r="GT267" s="10"/>
      <c r="GU267" s="10"/>
      <c r="GV267" s="10"/>
      <c r="GW267" s="10"/>
      <c r="GX267" s="10"/>
      <c r="GY267" s="10"/>
      <c r="GZ267" s="10"/>
      <c r="HA267" s="10"/>
      <c r="HB267" s="10"/>
      <c r="HC267" s="10"/>
      <c r="HD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0"/>
      <c r="GZ268" s="10"/>
      <c r="HA268" s="10"/>
      <c r="HB268" s="10"/>
      <c r="HC268" s="10"/>
      <c r="HD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0"/>
      <c r="GZ269" s="10"/>
      <c r="HA269" s="10"/>
      <c r="HB269" s="10"/>
      <c r="HC269" s="10"/>
      <c r="HD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  <c r="GQ270" s="10"/>
      <c r="GR270" s="10"/>
      <c r="GS270" s="10"/>
      <c r="GT270" s="10"/>
      <c r="GU270" s="10"/>
      <c r="GV270" s="10"/>
      <c r="GW270" s="10"/>
      <c r="GX270" s="10"/>
      <c r="GY270" s="10"/>
      <c r="GZ270" s="10"/>
      <c r="HA270" s="10"/>
      <c r="HB270" s="10"/>
      <c r="HC270" s="10"/>
      <c r="HD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0"/>
      <c r="GZ271" s="10"/>
      <c r="HA271" s="10"/>
      <c r="HB271" s="10"/>
      <c r="HC271" s="10"/>
      <c r="HD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0"/>
      <c r="GZ272" s="10"/>
      <c r="HA272" s="10"/>
      <c r="HB272" s="10"/>
      <c r="HC272" s="10"/>
      <c r="HD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  <c r="GQ273" s="10"/>
      <c r="GR273" s="10"/>
      <c r="GS273" s="10"/>
      <c r="GT273" s="10"/>
      <c r="GU273" s="10"/>
      <c r="GV273" s="10"/>
      <c r="GW273" s="10"/>
      <c r="GX273" s="10"/>
      <c r="GY273" s="10"/>
      <c r="GZ273" s="10"/>
      <c r="HA273" s="10"/>
      <c r="HB273" s="10"/>
      <c r="HC273" s="10"/>
      <c r="HD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/>
      <c r="GQ274" s="10"/>
      <c r="GR274" s="10"/>
      <c r="GS274" s="10"/>
      <c r="GT274" s="10"/>
      <c r="GU274" s="10"/>
      <c r="GV274" s="10"/>
      <c r="GW274" s="10"/>
      <c r="GX274" s="10"/>
      <c r="GY274" s="10"/>
      <c r="GZ274" s="10"/>
      <c r="HA274" s="10"/>
      <c r="HB274" s="10"/>
      <c r="HC274" s="10"/>
      <c r="HD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  <c r="GP275" s="10"/>
      <c r="GQ275" s="10"/>
      <c r="GR275" s="10"/>
      <c r="GS275" s="10"/>
      <c r="GT275" s="10"/>
      <c r="GU275" s="10"/>
      <c r="GV275" s="10"/>
      <c r="GW275" s="10"/>
      <c r="GX275" s="10"/>
      <c r="GY275" s="10"/>
      <c r="GZ275" s="10"/>
      <c r="HA275" s="10"/>
      <c r="HB275" s="10"/>
      <c r="HC275" s="10"/>
      <c r="HD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/>
      <c r="GQ276" s="10"/>
      <c r="GR276" s="10"/>
      <c r="GS276" s="10"/>
      <c r="GT276" s="10"/>
      <c r="GU276" s="10"/>
      <c r="GV276" s="10"/>
      <c r="GW276" s="10"/>
      <c r="GX276" s="10"/>
      <c r="GY276" s="10"/>
      <c r="GZ276" s="10"/>
      <c r="HA276" s="10"/>
      <c r="HB276" s="10"/>
      <c r="HC276" s="10"/>
      <c r="HD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/>
      <c r="GQ277" s="10"/>
      <c r="GR277" s="10"/>
      <c r="GS277" s="10"/>
      <c r="GT277" s="10"/>
      <c r="GU277" s="10"/>
      <c r="GV277" s="10"/>
      <c r="GW277" s="10"/>
      <c r="GX277" s="10"/>
      <c r="GY277" s="10"/>
      <c r="GZ277" s="10"/>
      <c r="HA277" s="10"/>
      <c r="HB277" s="10"/>
      <c r="HC277" s="10"/>
      <c r="HD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  <c r="GP278" s="10"/>
      <c r="GQ278" s="10"/>
      <c r="GR278" s="10"/>
      <c r="GS278" s="10"/>
      <c r="GT278" s="10"/>
      <c r="GU278" s="10"/>
      <c r="GV278" s="10"/>
      <c r="GW278" s="10"/>
      <c r="GX278" s="10"/>
      <c r="GY278" s="10"/>
      <c r="GZ278" s="10"/>
      <c r="HA278" s="10"/>
      <c r="HB278" s="10"/>
      <c r="HC278" s="10"/>
      <c r="HD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  <c r="GP279" s="10"/>
      <c r="GQ279" s="10"/>
      <c r="GR279" s="10"/>
      <c r="GS279" s="10"/>
      <c r="GT279" s="10"/>
      <c r="GU279" s="10"/>
      <c r="GV279" s="10"/>
      <c r="GW279" s="10"/>
      <c r="GX279" s="10"/>
      <c r="GY279" s="10"/>
      <c r="GZ279" s="10"/>
      <c r="HA279" s="10"/>
      <c r="HB279" s="10"/>
      <c r="HC279" s="10"/>
      <c r="HD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  <c r="GP280" s="10"/>
      <c r="GQ280" s="10"/>
      <c r="GR280" s="10"/>
      <c r="GS280" s="10"/>
      <c r="GT280" s="10"/>
      <c r="GU280" s="10"/>
      <c r="GV280" s="10"/>
      <c r="GW280" s="10"/>
      <c r="GX280" s="10"/>
      <c r="GY280" s="10"/>
      <c r="GZ280" s="10"/>
      <c r="HA280" s="10"/>
      <c r="HB280" s="10"/>
      <c r="HC280" s="10"/>
      <c r="HD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  <c r="GP281" s="10"/>
      <c r="GQ281" s="10"/>
      <c r="GR281" s="10"/>
      <c r="GS281" s="10"/>
      <c r="GT281" s="10"/>
      <c r="GU281" s="10"/>
      <c r="GV281" s="10"/>
      <c r="GW281" s="10"/>
      <c r="GX281" s="10"/>
      <c r="GY281" s="10"/>
      <c r="GZ281" s="10"/>
      <c r="HA281" s="10"/>
      <c r="HB281" s="10"/>
      <c r="HC281" s="10"/>
      <c r="HD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  <c r="GP282" s="10"/>
      <c r="GQ282" s="10"/>
      <c r="GR282" s="10"/>
      <c r="GS282" s="10"/>
      <c r="GT282" s="10"/>
      <c r="GU282" s="10"/>
      <c r="GV282" s="10"/>
      <c r="GW282" s="10"/>
      <c r="GX282" s="10"/>
      <c r="GY282" s="10"/>
      <c r="GZ282" s="10"/>
      <c r="HA282" s="10"/>
      <c r="HB282" s="10"/>
      <c r="HC282" s="10"/>
      <c r="HD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  <c r="GP283" s="10"/>
      <c r="GQ283" s="10"/>
      <c r="GR283" s="10"/>
      <c r="GS283" s="10"/>
      <c r="GT283" s="10"/>
      <c r="GU283" s="10"/>
      <c r="GV283" s="10"/>
      <c r="GW283" s="10"/>
      <c r="GX283" s="10"/>
      <c r="GY283" s="10"/>
      <c r="GZ283" s="10"/>
      <c r="HA283" s="10"/>
      <c r="HB283" s="10"/>
      <c r="HC283" s="10"/>
      <c r="HD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  <c r="GQ284" s="10"/>
      <c r="GR284" s="10"/>
      <c r="GS284" s="10"/>
      <c r="GT284" s="10"/>
      <c r="GU284" s="10"/>
      <c r="GV284" s="10"/>
      <c r="GW284" s="10"/>
      <c r="GX284" s="10"/>
      <c r="GY284" s="10"/>
      <c r="GZ284" s="10"/>
      <c r="HA284" s="10"/>
      <c r="HB284" s="10"/>
      <c r="HC284" s="10"/>
      <c r="HD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  <c r="GP285" s="10"/>
      <c r="GQ285" s="10"/>
      <c r="GR285" s="10"/>
      <c r="GS285" s="10"/>
      <c r="GT285" s="10"/>
      <c r="GU285" s="10"/>
      <c r="GV285" s="10"/>
      <c r="GW285" s="10"/>
      <c r="GX285" s="10"/>
      <c r="GY285" s="10"/>
      <c r="GZ285" s="10"/>
      <c r="HA285" s="10"/>
      <c r="HB285" s="10"/>
      <c r="HC285" s="10"/>
      <c r="HD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  <c r="GP286" s="10"/>
      <c r="GQ286" s="10"/>
      <c r="GR286" s="10"/>
      <c r="GS286" s="10"/>
      <c r="GT286" s="10"/>
      <c r="GU286" s="10"/>
      <c r="GV286" s="10"/>
      <c r="GW286" s="10"/>
      <c r="GX286" s="10"/>
      <c r="GY286" s="10"/>
      <c r="GZ286" s="10"/>
      <c r="HA286" s="10"/>
      <c r="HB286" s="10"/>
      <c r="HC286" s="10"/>
      <c r="HD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  <c r="GP287" s="10"/>
      <c r="GQ287" s="10"/>
      <c r="GR287" s="10"/>
      <c r="GS287" s="10"/>
      <c r="GT287" s="10"/>
      <c r="GU287" s="10"/>
      <c r="GV287" s="10"/>
      <c r="GW287" s="10"/>
      <c r="GX287" s="10"/>
      <c r="GY287" s="10"/>
      <c r="GZ287" s="10"/>
      <c r="HA287" s="10"/>
      <c r="HB287" s="10"/>
      <c r="HC287" s="10"/>
      <c r="HD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/>
      <c r="GQ288" s="10"/>
      <c r="GR288" s="10"/>
      <c r="GS288" s="10"/>
      <c r="GT288" s="10"/>
      <c r="GU288" s="10"/>
      <c r="GV288" s="10"/>
      <c r="GW288" s="10"/>
      <c r="GX288" s="10"/>
      <c r="GY288" s="10"/>
      <c r="GZ288" s="10"/>
      <c r="HA288" s="10"/>
      <c r="HB288" s="10"/>
      <c r="HC288" s="10"/>
      <c r="HD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  <c r="GP289" s="10"/>
      <c r="GQ289" s="10"/>
      <c r="GR289" s="10"/>
      <c r="GS289" s="10"/>
      <c r="GT289" s="10"/>
      <c r="GU289" s="10"/>
      <c r="GV289" s="10"/>
      <c r="GW289" s="10"/>
      <c r="GX289" s="10"/>
      <c r="GY289" s="10"/>
      <c r="GZ289" s="10"/>
      <c r="HA289" s="10"/>
      <c r="HB289" s="10"/>
      <c r="HC289" s="10"/>
      <c r="HD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  <c r="GP290" s="10"/>
      <c r="GQ290" s="10"/>
      <c r="GR290" s="10"/>
      <c r="GS290" s="10"/>
      <c r="GT290" s="10"/>
      <c r="GU290" s="10"/>
      <c r="GV290" s="10"/>
      <c r="GW290" s="10"/>
      <c r="GX290" s="10"/>
      <c r="GY290" s="10"/>
      <c r="GZ290" s="10"/>
      <c r="HA290" s="10"/>
      <c r="HB290" s="10"/>
      <c r="HC290" s="10"/>
      <c r="HD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  <c r="GP291" s="10"/>
      <c r="GQ291" s="10"/>
      <c r="GR291" s="10"/>
      <c r="GS291" s="10"/>
      <c r="GT291" s="10"/>
      <c r="GU291" s="10"/>
      <c r="GV291" s="10"/>
      <c r="GW291" s="10"/>
      <c r="GX291" s="10"/>
      <c r="GY291" s="10"/>
      <c r="GZ291" s="10"/>
      <c r="HA291" s="10"/>
      <c r="HB291" s="10"/>
      <c r="HC291" s="10"/>
      <c r="HD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/>
      <c r="GQ292" s="10"/>
      <c r="GR292" s="10"/>
      <c r="GS292" s="10"/>
      <c r="GT292" s="10"/>
      <c r="GU292" s="10"/>
      <c r="GV292" s="10"/>
      <c r="GW292" s="10"/>
      <c r="GX292" s="10"/>
      <c r="GY292" s="10"/>
      <c r="GZ292" s="10"/>
      <c r="HA292" s="10"/>
      <c r="HB292" s="10"/>
      <c r="HC292" s="10"/>
      <c r="HD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  <c r="GP293" s="10"/>
      <c r="GQ293" s="10"/>
      <c r="GR293" s="10"/>
      <c r="GS293" s="10"/>
      <c r="GT293" s="10"/>
      <c r="GU293" s="10"/>
      <c r="GV293" s="10"/>
      <c r="GW293" s="10"/>
      <c r="GX293" s="10"/>
      <c r="GY293" s="10"/>
      <c r="GZ293" s="10"/>
      <c r="HA293" s="10"/>
      <c r="HB293" s="10"/>
      <c r="HC293" s="10"/>
      <c r="HD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/>
      <c r="GQ294" s="10"/>
      <c r="GR294" s="10"/>
      <c r="GS294" s="10"/>
      <c r="GT294" s="10"/>
      <c r="GU294" s="10"/>
      <c r="GV294" s="10"/>
      <c r="GW294" s="10"/>
      <c r="GX294" s="10"/>
      <c r="GY294" s="10"/>
      <c r="GZ294" s="10"/>
      <c r="HA294" s="10"/>
      <c r="HB294" s="10"/>
      <c r="HC294" s="10"/>
      <c r="HD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  <c r="GP295" s="10"/>
      <c r="GQ295" s="10"/>
      <c r="GR295" s="10"/>
      <c r="GS295" s="10"/>
      <c r="GT295" s="10"/>
      <c r="GU295" s="10"/>
      <c r="GV295" s="10"/>
      <c r="GW295" s="10"/>
      <c r="GX295" s="10"/>
      <c r="GY295" s="10"/>
      <c r="GZ295" s="10"/>
      <c r="HA295" s="10"/>
      <c r="HB295" s="10"/>
      <c r="HC295" s="10"/>
      <c r="HD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/>
      <c r="GQ296" s="10"/>
      <c r="GR296" s="10"/>
      <c r="GS296" s="10"/>
      <c r="GT296" s="10"/>
      <c r="GU296" s="10"/>
      <c r="GV296" s="10"/>
      <c r="GW296" s="10"/>
      <c r="GX296" s="10"/>
      <c r="GY296" s="10"/>
      <c r="GZ296" s="10"/>
      <c r="HA296" s="10"/>
      <c r="HB296" s="10"/>
      <c r="HC296" s="10"/>
      <c r="HD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  <c r="GP297" s="10"/>
      <c r="GQ297" s="10"/>
      <c r="GR297" s="10"/>
      <c r="GS297" s="10"/>
      <c r="GT297" s="10"/>
      <c r="GU297" s="10"/>
      <c r="GV297" s="10"/>
      <c r="GW297" s="10"/>
      <c r="GX297" s="10"/>
      <c r="GY297" s="10"/>
      <c r="GZ297" s="10"/>
      <c r="HA297" s="10"/>
      <c r="HB297" s="10"/>
      <c r="HC297" s="10"/>
      <c r="HD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  <c r="GP298" s="10"/>
      <c r="GQ298" s="10"/>
      <c r="GR298" s="10"/>
      <c r="GS298" s="10"/>
      <c r="GT298" s="10"/>
      <c r="GU298" s="10"/>
      <c r="GV298" s="10"/>
      <c r="GW298" s="10"/>
      <c r="GX298" s="10"/>
      <c r="GY298" s="10"/>
      <c r="GZ298" s="10"/>
      <c r="HA298" s="10"/>
      <c r="HB298" s="10"/>
      <c r="HC298" s="10"/>
      <c r="HD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/>
      <c r="GQ299" s="10"/>
      <c r="GR299" s="10"/>
      <c r="GS299" s="10"/>
      <c r="GT299" s="10"/>
      <c r="GU299" s="10"/>
      <c r="GV299" s="10"/>
      <c r="GW299" s="10"/>
      <c r="GX299" s="10"/>
      <c r="GY299" s="10"/>
      <c r="GZ299" s="10"/>
      <c r="HA299" s="10"/>
      <c r="HB299" s="10"/>
      <c r="HC299" s="10"/>
      <c r="HD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  <c r="GP300" s="10"/>
      <c r="GQ300" s="10"/>
      <c r="GR300" s="10"/>
      <c r="GS300" s="10"/>
      <c r="GT300" s="10"/>
      <c r="GU300" s="10"/>
      <c r="GV300" s="10"/>
      <c r="GW300" s="10"/>
      <c r="GX300" s="10"/>
      <c r="GY300" s="10"/>
      <c r="GZ300" s="10"/>
      <c r="HA300" s="10"/>
      <c r="HB300" s="10"/>
      <c r="HC300" s="10"/>
      <c r="HD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  <c r="GP301" s="10"/>
      <c r="GQ301" s="10"/>
      <c r="GR301" s="10"/>
      <c r="GS301" s="10"/>
      <c r="GT301" s="10"/>
      <c r="GU301" s="10"/>
      <c r="GV301" s="10"/>
      <c r="GW301" s="10"/>
      <c r="GX301" s="10"/>
      <c r="GY301" s="10"/>
      <c r="GZ301" s="10"/>
      <c r="HA301" s="10"/>
      <c r="HB301" s="10"/>
      <c r="HC301" s="10"/>
      <c r="HD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  <c r="GP302" s="10"/>
      <c r="GQ302" s="10"/>
      <c r="GR302" s="10"/>
      <c r="GS302" s="10"/>
      <c r="GT302" s="10"/>
      <c r="GU302" s="10"/>
      <c r="GV302" s="10"/>
      <c r="GW302" s="10"/>
      <c r="GX302" s="10"/>
      <c r="GY302" s="10"/>
      <c r="GZ302" s="10"/>
      <c r="HA302" s="10"/>
      <c r="HB302" s="10"/>
      <c r="HC302" s="10"/>
      <c r="HD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/>
      <c r="GQ303" s="10"/>
      <c r="GR303" s="10"/>
      <c r="GS303" s="10"/>
      <c r="GT303" s="10"/>
      <c r="GU303" s="10"/>
      <c r="GV303" s="10"/>
      <c r="GW303" s="10"/>
      <c r="GX303" s="10"/>
      <c r="GY303" s="10"/>
      <c r="GZ303" s="10"/>
      <c r="HA303" s="10"/>
      <c r="HB303" s="10"/>
      <c r="HC303" s="10"/>
      <c r="HD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  <c r="GP304" s="10"/>
      <c r="GQ304" s="10"/>
      <c r="GR304" s="10"/>
      <c r="GS304" s="10"/>
      <c r="GT304" s="10"/>
      <c r="GU304" s="10"/>
      <c r="GV304" s="10"/>
      <c r="GW304" s="10"/>
      <c r="GX304" s="10"/>
      <c r="GY304" s="10"/>
      <c r="GZ304" s="10"/>
      <c r="HA304" s="10"/>
      <c r="HB304" s="10"/>
      <c r="HC304" s="10"/>
      <c r="HD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  <c r="GQ305" s="10"/>
      <c r="GR305" s="10"/>
      <c r="GS305" s="10"/>
      <c r="GT305" s="10"/>
      <c r="GU305" s="10"/>
      <c r="GV305" s="10"/>
      <c r="GW305" s="10"/>
      <c r="GX305" s="10"/>
      <c r="GY305" s="10"/>
      <c r="GZ305" s="10"/>
      <c r="HA305" s="10"/>
      <c r="HB305" s="10"/>
      <c r="HC305" s="10"/>
      <c r="HD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/>
      <c r="GQ306" s="10"/>
      <c r="GR306" s="10"/>
      <c r="GS306" s="10"/>
      <c r="GT306" s="10"/>
      <c r="GU306" s="10"/>
      <c r="GV306" s="10"/>
      <c r="GW306" s="10"/>
      <c r="GX306" s="10"/>
      <c r="GY306" s="10"/>
      <c r="GZ306" s="10"/>
      <c r="HA306" s="10"/>
      <c r="HB306" s="10"/>
      <c r="HC306" s="10"/>
      <c r="HD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0"/>
      <c r="GZ307" s="10"/>
      <c r="HA307" s="10"/>
      <c r="HB307" s="10"/>
      <c r="HC307" s="10"/>
      <c r="HD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  <c r="GQ308" s="10"/>
      <c r="GR308" s="10"/>
      <c r="GS308" s="10"/>
      <c r="GT308" s="10"/>
      <c r="GU308" s="10"/>
      <c r="GV308" s="10"/>
      <c r="GW308" s="10"/>
      <c r="GX308" s="10"/>
      <c r="GY308" s="10"/>
      <c r="GZ308" s="10"/>
      <c r="HA308" s="10"/>
      <c r="HB308" s="10"/>
      <c r="HC308" s="10"/>
      <c r="HD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  <c r="GP309" s="10"/>
      <c r="GQ309" s="10"/>
      <c r="GR309" s="10"/>
      <c r="GS309" s="10"/>
      <c r="GT309" s="10"/>
      <c r="GU309" s="10"/>
      <c r="GV309" s="10"/>
      <c r="GW309" s="10"/>
      <c r="GX309" s="10"/>
      <c r="GY309" s="10"/>
      <c r="GZ309" s="10"/>
      <c r="HA309" s="10"/>
      <c r="HB309" s="10"/>
      <c r="HC309" s="10"/>
      <c r="HD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/>
      <c r="GQ310" s="10"/>
      <c r="GR310" s="10"/>
      <c r="GS310" s="10"/>
      <c r="GT310" s="10"/>
      <c r="GU310" s="10"/>
      <c r="GV310" s="10"/>
      <c r="GW310" s="10"/>
      <c r="GX310" s="10"/>
      <c r="GY310" s="10"/>
      <c r="GZ310" s="10"/>
      <c r="HA310" s="10"/>
      <c r="HB310" s="10"/>
      <c r="HC310" s="10"/>
      <c r="HD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/>
      <c r="GQ311" s="10"/>
      <c r="GR311" s="10"/>
      <c r="GS311" s="10"/>
      <c r="GT311" s="10"/>
      <c r="GU311" s="10"/>
      <c r="GV311" s="10"/>
      <c r="GW311" s="10"/>
      <c r="GX311" s="10"/>
      <c r="GY311" s="10"/>
      <c r="GZ311" s="10"/>
      <c r="HA311" s="10"/>
      <c r="HB311" s="10"/>
      <c r="HC311" s="10"/>
      <c r="HD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  <c r="GP312" s="10"/>
      <c r="GQ312" s="10"/>
      <c r="GR312" s="10"/>
      <c r="GS312" s="10"/>
      <c r="GT312" s="10"/>
      <c r="GU312" s="10"/>
      <c r="GV312" s="10"/>
      <c r="GW312" s="10"/>
      <c r="GX312" s="10"/>
      <c r="GY312" s="10"/>
      <c r="GZ312" s="10"/>
      <c r="HA312" s="10"/>
      <c r="HB312" s="10"/>
      <c r="HC312" s="10"/>
      <c r="HD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  <c r="GP313" s="10"/>
      <c r="GQ313" s="10"/>
      <c r="GR313" s="10"/>
      <c r="GS313" s="10"/>
      <c r="GT313" s="10"/>
      <c r="GU313" s="10"/>
      <c r="GV313" s="10"/>
      <c r="GW313" s="10"/>
      <c r="GX313" s="10"/>
      <c r="GY313" s="10"/>
      <c r="GZ313" s="10"/>
      <c r="HA313" s="10"/>
      <c r="HB313" s="10"/>
      <c r="HC313" s="10"/>
      <c r="HD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  <c r="GQ314" s="10"/>
      <c r="GR314" s="10"/>
      <c r="GS314" s="10"/>
      <c r="GT314" s="10"/>
      <c r="GU314" s="10"/>
      <c r="GV314" s="10"/>
      <c r="GW314" s="10"/>
      <c r="GX314" s="10"/>
      <c r="GY314" s="10"/>
      <c r="GZ314" s="10"/>
      <c r="HA314" s="10"/>
      <c r="HB314" s="10"/>
      <c r="HC314" s="10"/>
      <c r="HD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  <c r="GP315" s="10"/>
      <c r="GQ315" s="10"/>
      <c r="GR315" s="10"/>
      <c r="GS315" s="10"/>
      <c r="GT315" s="10"/>
      <c r="GU315" s="10"/>
      <c r="GV315" s="10"/>
      <c r="GW315" s="10"/>
      <c r="GX315" s="10"/>
      <c r="GY315" s="10"/>
      <c r="GZ315" s="10"/>
      <c r="HA315" s="10"/>
      <c r="HB315" s="10"/>
      <c r="HC315" s="10"/>
      <c r="HD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/>
      <c r="GQ316" s="10"/>
      <c r="GR316" s="10"/>
      <c r="GS316" s="10"/>
      <c r="GT316" s="10"/>
      <c r="GU316" s="10"/>
      <c r="GV316" s="10"/>
      <c r="GW316" s="10"/>
      <c r="GX316" s="10"/>
      <c r="GY316" s="10"/>
      <c r="GZ316" s="10"/>
      <c r="HA316" s="10"/>
      <c r="HB316" s="10"/>
      <c r="HC316" s="10"/>
      <c r="HD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/>
      <c r="GQ317" s="10"/>
      <c r="GR317" s="10"/>
      <c r="GS317" s="10"/>
      <c r="GT317" s="10"/>
      <c r="GU317" s="10"/>
      <c r="GV317" s="10"/>
      <c r="GW317" s="10"/>
      <c r="GX317" s="10"/>
      <c r="GY317" s="10"/>
      <c r="GZ317" s="10"/>
      <c r="HA317" s="10"/>
      <c r="HB317" s="10"/>
      <c r="HC317" s="10"/>
      <c r="HD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  <c r="GP318" s="10"/>
      <c r="GQ318" s="10"/>
      <c r="GR318" s="10"/>
      <c r="GS318" s="10"/>
      <c r="GT318" s="10"/>
      <c r="GU318" s="10"/>
      <c r="GV318" s="10"/>
      <c r="GW318" s="10"/>
      <c r="GX318" s="10"/>
      <c r="GY318" s="10"/>
      <c r="GZ318" s="10"/>
      <c r="HA318" s="10"/>
      <c r="HB318" s="10"/>
      <c r="HC318" s="10"/>
      <c r="HD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  <c r="GP319" s="10"/>
      <c r="GQ319" s="10"/>
      <c r="GR319" s="10"/>
      <c r="GS319" s="10"/>
      <c r="GT319" s="10"/>
      <c r="GU319" s="10"/>
      <c r="GV319" s="10"/>
      <c r="GW319" s="10"/>
      <c r="GX319" s="10"/>
      <c r="GY319" s="10"/>
      <c r="GZ319" s="10"/>
      <c r="HA319" s="10"/>
      <c r="HB319" s="10"/>
      <c r="HC319" s="10"/>
      <c r="HD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/>
      <c r="GQ320" s="10"/>
      <c r="GR320" s="10"/>
      <c r="GS320" s="10"/>
      <c r="GT320" s="10"/>
      <c r="GU320" s="10"/>
      <c r="GV320" s="10"/>
      <c r="GW320" s="10"/>
      <c r="GX320" s="10"/>
      <c r="GY320" s="10"/>
      <c r="GZ320" s="10"/>
      <c r="HA320" s="10"/>
      <c r="HB320" s="10"/>
      <c r="HC320" s="10"/>
      <c r="HD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  <c r="GP321" s="10"/>
      <c r="GQ321" s="10"/>
      <c r="GR321" s="10"/>
      <c r="GS321" s="10"/>
      <c r="GT321" s="10"/>
      <c r="GU321" s="10"/>
      <c r="GV321" s="10"/>
      <c r="GW321" s="10"/>
      <c r="GX321" s="10"/>
      <c r="GY321" s="10"/>
      <c r="GZ321" s="10"/>
      <c r="HA321" s="10"/>
      <c r="HB321" s="10"/>
      <c r="HC321" s="10"/>
      <c r="HD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  <c r="GP322" s="10"/>
      <c r="GQ322" s="10"/>
      <c r="GR322" s="10"/>
      <c r="GS322" s="10"/>
      <c r="GT322" s="10"/>
      <c r="GU322" s="10"/>
      <c r="GV322" s="10"/>
      <c r="GW322" s="10"/>
      <c r="GX322" s="10"/>
      <c r="GY322" s="10"/>
      <c r="GZ322" s="10"/>
      <c r="HA322" s="10"/>
      <c r="HB322" s="10"/>
      <c r="HC322" s="10"/>
      <c r="HD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  <c r="GP323" s="10"/>
      <c r="GQ323" s="10"/>
      <c r="GR323" s="10"/>
      <c r="GS323" s="10"/>
      <c r="GT323" s="10"/>
      <c r="GU323" s="10"/>
      <c r="GV323" s="10"/>
      <c r="GW323" s="10"/>
      <c r="GX323" s="10"/>
      <c r="GY323" s="10"/>
      <c r="GZ323" s="10"/>
      <c r="HA323" s="10"/>
      <c r="HB323" s="10"/>
      <c r="HC323" s="10"/>
      <c r="HD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/>
      <c r="GQ324" s="10"/>
      <c r="GR324" s="10"/>
      <c r="GS324" s="10"/>
      <c r="GT324" s="10"/>
      <c r="GU324" s="10"/>
      <c r="GV324" s="10"/>
      <c r="GW324" s="10"/>
      <c r="GX324" s="10"/>
      <c r="GY324" s="10"/>
      <c r="GZ324" s="10"/>
      <c r="HA324" s="10"/>
      <c r="HB324" s="10"/>
      <c r="HC324" s="10"/>
      <c r="HD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0"/>
      <c r="GZ325" s="10"/>
      <c r="HA325" s="10"/>
      <c r="HB325" s="10"/>
      <c r="HC325" s="10"/>
      <c r="HD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/>
      <c r="GQ326" s="10"/>
      <c r="GR326" s="10"/>
      <c r="GS326" s="10"/>
      <c r="GT326" s="10"/>
      <c r="GU326" s="10"/>
      <c r="GV326" s="10"/>
      <c r="GW326" s="10"/>
      <c r="GX326" s="10"/>
      <c r="GY326" s="10"/>
      <c r="GZ326" s="10"/>
      <c r="HA326" s="10"/>
      <c r="HB326" s="10"/>
      <c r="HC326" s="10"/>
      <c r="HD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/>
      <c r="GQ327" s="10"/>
      <c r="GR327" s="10"/>
      <c r="GS327" s="10"/>
      <c r="GT327" s="10"/>
      <c r="GU327" s="10"/>
      <c r="GV327" s="10"/>
      <c r="GW327" s="10"/>
      <c r="GX327" s="10"/>
      <c r="GY327" s="10"/>
      <c r="GZ327" s="10"/>
      <c r="HA327" s="10"/>
      <c r="HB327" s="10"/>
      <c r="HC327" s="10"/>
      <c r="HD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/>
      <c r="GQ328" s="10"/>
      <c r="GR328" s="10"/>
      <c r="GS328" s="10"/>
      <c r="GT328" s="10"/>
      <c r="GU328" s="10"/>
      <c r="GV328" s="10"/>
      <c r="GW328" s="10"/>
      <c r="GX328" s="10"/>
      <c r="GY328" s="10"/>
      <c r="GZ328" s="10"/>
      <c r="HA328" s="10"/>
      <c r="HB328" s="10"/>
      <c r="HC328" s="10"/>
      <c r="HD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/>
      <c r="GQ329" s="10"/>
      <c r="GR329" s="10"/>
      <c r="GS329" s="10"/>
      <c r="GT329" s="10"/>
      <c r="GU329" s="10"/>
      <c r="GV329" s="10"/>
      <c r="GW329" s="10"/>
      <c r="GX329" s="10"/>
      <c r="GY329" s="10"/>
      <c r="GZ329" s="10"/>
      <c r="HA329" s="10"/>
      <c r="HB329" s="10"/>
      <c r="HC329" s="10"/>
      <c r="HD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0"/>
      <c r="GZ330" s="10"/>
      <c r="HA330" s="10"/>
      <c r="HB330" s="10"/>
      <c r="HC330" s="10"/>
      <c r="HD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/>
      <c r="GQ331" s="10"/>
      <c r="GR331" s="10"/>
      <c r="GS331" s="10"/>
      <c r="GT331" s="10"/>
      <c r="GU331" s="10"/>
      <c r="GV331" s="10"/>
      <c r="GW331" s="10"/>
      <c r="GX331" s="10"/>
      <c r="GY331" s="10"/>
      <c r="GZ331" s="10"/>
      <c r="HA331" s="10"/>
      <c r="HB331" s="10"/>
      <c r="HC331" s="10"/>
      <c r="HD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/>
      <c r="GQ332" s="10"/>
      <c r="GR332" s="10"/>
      <c r="GS332" s="10"/>
      <c r="GT332" s="10"/>
      <c r="GU332" s="10"/>
      <c r="GV332" s="10"/>
      <c r="GW332" s="10"/>
      <c r="GX332" s="10"/>
      <c r="GY332" s="10"/>
      <c r="GZ332" s="10"/>
      <c r="HA332" s="10"/>
      <c r="HB332" s="10"/>
      <c r="HC332" s="10"/>
      <c r="HD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/>
      <c r="GQ333" s="10"/>
      <c r="GR333" s="10"/>
      <c r="GS333" s="10"/>
      <c r="GT333" s="10"/>
      <c r="GU333" s="10"/>
      <c r="GV333" s="10"/>
      <c r="GW333" s="10"/>
      <c r="GX333" s="10"/>
      <c r="GY333" s="10"/>
      <c r="GZ333" s="10"/>
      <c r="HA333" s="10"/>
      <c r="HB333" s="10"/>
      <c r="HC333" s="10"/>
      <c r="HD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/>
      <c r="GQ334" s="10"/>
      <c r="GR334" s="10"/>
      <c r="GS334" s="10"/>
      <c r="GT334" s="10"/>
      <c r="GU334" s="10"/>
      <c r="GV334" s="10"/>
      <c r="GW334" s="10"/>
      <c r="GX334" s="10"/>
      <c r="GY334" s="10"/>
      <c r="GZ334" s="10"/>
      <c r="HA334" s="10"/>
      <c r="HB334" s="10"/>
      <c r="HC334" s="10"/>
      <c r="HD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/>
      <c r="GQ335" s="10"/>
      <c r="GR335" s="10"/>
      <c r="GS335" s="10"/>
      <c r="GT335" s="10"/>
      <c r="GU335" s="10"/>
      <c r="GV335" s="10"/>
      <c r="GW335" s="10"/>
      <c r="GX335" s="10"/>
      <c r="GY335" s="10"/>
      <c r="GZ335" s="10"/>
      <c r="HA335" s="10"/>
      <c r="HB335" s="10"/>
      <c r="HC335" s="10"/>
      <c r="HD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  <c r="GP336" s="10"/>
      <c r="GQ336" s="10"/>
      <c r="GR336" s="10"/>
      <c r="GS336" s="10"/>
      <c r="GT336" s="10"/>
      <c r="GU336" s="10"/>
      <c r="GV336" s="10"/>
      <c r="GW336" s="10"/>
      <c r="GX336" s="10"/>
      <c r="GY336" s="10"/>
      <c r="GZ336" s="10"/>
      <c r="HA336" s="10"/>
      <c r="HB336" s="10"/>
      <c r="HC336" s="10"/>
      <c r="HD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/>
      <c r="GQ337" s="10"/>
      <c r="GR337" s="10"/>
      <c r="GS337" s="10"/>
      <c r="GT337" s="10"/>
      <c r="GU337" s="10"/>
      <c r="GV337" s="10"/>
      <c r="GW337" s="10"/>
      <c r="GX337" s="10"/>
      <c r="GY337" s="10"/>
      <c r="GZ337" s="10"/>
      <c r="HA337" s="10"/>
      <c r="HB337" s="10"/>
      <c r="HC337" s="10"/>
      <c r="HD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/>
      <c r="GQ338" s="10"/>
      <c r="GR338" s="10"/>
      <c r="GS338" s="10"/>
      <c r="GT338" s="10"/>
      <c r="GU338" s="10"/>
      <c r="GV338" s="10"/>
      <c r="GW338" s="10"/>
      <c r="GX338" s="10"/>
      <c r="GY338" s="10"/>
      <c r="GZ338" s="10"/>
      <c r="HA338" s="10"/>
      <c r="HB338" s="10"/>
      <c r="HC338" s="10"/>
      <c r="HD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/>
      <c r="GQ339" s="10"/>
      <c r="GR339" s="10"/>
      <c r="GS339" s="10"/>
      <c r="GT339" s="10"/>
      <c r="GU339" s="10"/>
      <c r="GV339" s="10"/>
      <c r="GW339" s="10"/>
      <c r="GX339" s="10"/>
      <c r="GY339" s="10"/>
      <c r="GZ339" s="10"/>
      <c r="HA339" s="10"/>
      <c r="HB339" s="10"/>
      <c r="HC339" s="10"/>
      <c r="HD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/>
      <c r="GQ340" s="10"/>
      <c r="GR340" s="10"/>
      <c r="GS340" s="10"/>
      <c r="GT340" s="10"/>
      <c r="GU340" s="10"/>
      <c r="GV340" s="10"/>
      <c r="GW340" s="10"/>
      <c r="GX340" s="10"/>
      <c r="GY340" s="10"/>
      <c r="GZ340" s="10"/>
      <c r="HA340" s="10"/>
      <c r="HB340" s="10"/>
      <c r="HC340" s="10"/>
      <c r="HD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0"/>
      <c r="GZ341" s="10"/>
      <c r="HA341" s="10"/>
      <c r="HB341" s="10"/>
      <c r="HC341" s="10"/>
      <c r="HD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/>
      <c r="GQ342" s="10"/>
      <c r="GR342" s="10"/>
      <c r="GS342" s="10"/>
      <c r="GT342" s="10"/>
      <c r="GU342" s="10"/>
      <c r="GV342" s="10"/>
      <c r="GW342" s="10"/>
      <c r="GX342" s="10"/>
      <c r="GY342" s="10"/>
      <c r="GZ342" s="10"/>
      <c r="HA342" s="10"/>
      <c r="HB342" s="10"/>
      <c r="HC342" s="10"/>
      <c r="HD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/>
      <c r="GQ343" s="10"/>
      <c r="GR343" s="10"/>
      <c r="GS343" s="10"/>
      <c r="GT343" s="10"/>
      <c r="GU343" s="10"/>
      <c r="GV343" s="10"/>
      <c r="GW343" s="10"/>
      <c r="GX343" s="10"/>
      <c r="GY343" s="10"/>
      <c r="GZ343" s="10"/>
      <c r="HA343" s="10"/>
      <c r="HB343" s="10"/>
      <c r="HC343" s="10"/>
      <c r="HD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0"/>
      <c r="GZ344" s="10"/>
      <c r="HA344" s="10"/>
      <c r="HB344" s="10"/>
      <c r="HC344" s="10"/>
      <c r="HD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0"/>
      <c r="GZ345" s="10"/>
      <c r="HA345" s="10"/>
      <c r="HB345" s="10"/>
      <c r="HC345" s="10"/>
      <c r="HD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0"/>
      <c r="GZ346" s="10"/>
      <c r="HA346" s="10"/>
      <c r="HB346" s="10"/>
      <c r="HC346" s="10"/>
      <c r="HD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0"/>
      <c r="GZ347" s="10"/>
      <c r="HA347" s="10"/>
      <c r="HB347" s="10"/>
      <c r="HC347" s="10"/>
      <c r="HD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0"/>
      <c r="GZ348" s="10"/>
      <c r="HA348" s="10"/>
      <c r="HB348" s="10"/>
      <c r="HC348" s="10"/>
      <c r="HD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0"/>
      <c r="GZ349" s="10"/>
      <c r="HA349" s="10"/>
      <c r="HB349" s="10"/>
      <c r="HC349" s="10"/>
      <c r="HD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0"/>
      <c r="GZ350" s="10"/>
      <c r="HA350" s="10"/>
      <c r="HB350" s="10"/>
      <c r="HC350" s="10"/>
      <c r="HD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/>
      <c r="GQ351" s="10"/>
      <c r="GR351" s="10"/>
      <c r="GS351" s="10"/>
      <c r="GT351" s="10"/>
      <c r="GU351" s="10"/>
      <c r="GV351" s="10"/>
      <c r="GW351" s="10"/>
      <c r="GX351" s="10"/>
      <c r="GY351" s="10"/>
      <c r="GZ351" s="10"/>
      <c r="HA351" s="10"/>
      <c r="HB351" s="10"/>
      <c r="HC351" s="10"/>
      <c r="HD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/>
      <c r="GQ352" s="10"/>
      <c r="GR352" s="10"/>
      <c r="GS352" s="10"/>
      <c r="GT352" s="10"/>
      <c r="GU352" s="10"/>
      <c r="GV352" s="10"/>
      <c r="GW352" s="10"/>
      <c r="GX352" s="10"/>
      <c r="GY352" s="10"/>
      <c r="GZ352" s="10"/>
      <c r="HA352" s="10"/>
      <c r="HB352" s="10"/>
      <c r="HC352" s="10"/>
      <c r="HD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/>
      <c r="GQ353" s="10"/>
      <c r="GR353" s="10"/>
      <c r="GS353" s="10"/>
      <c r="GT353" s="10"/>
      <c r="GU353" s="10"/>
      <c r="GV353" s="10"/>
      <c r="GW353" s="10"/>
      <c r="GX353" s="10"/>
      <c r="GY353" s="10"/>
      <c r="GZ353" s="10"/>
      <c r="HA353" s="10"/>
      <c r="HB353" s="10"/>
      <c r="HC353" s="10"/>
      <c r="HD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/>
      <c r="GQ354" s="10"/>
      <c r="GR354" s="10"/>
      <c r="GS354" s="10"/>
      <c r="GT354" s="10"/>
      <c r="GU354" s="10"/>
      <c r="GV354" s="10"/>
      <c r="GW354" s="10"/>
      <c r="GX354" s="10"/>
      <c r="GY354" s="10"/>
      <c r="GZ354" s="10"/>
      <c r="HA354" s="10"/>
      <c r="HB354" s="10"/>
      <c r="HC354" s="10"/>
      <c r="HD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/>
      <c r="GQ355" s="10"/>
      <c r="GR355" s="10"/>
      <c r="GS355" s="10"/>
      <c r="GT355" s="10"/>
      <c r="GU355" s="10"/>
      <c r="GV355" s="10"/>
      <c r="GW355" s="10"/>
      <c r="GX355" s="10"/>
      <c r="GY355" s="10"/>
      <c r="GZ355" s="10"/>
      <c r="HA355" s="10"/>
      <c r="HB355" s="10"/>
      <c r="HC355" s="10"/>
      <c r="HD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/>
      <c r="GQ356" s="10"/>
      <c r="GR356" s="10"/>
      <c r="GS356" s="10"/>
      <c r="GT356" s="10"/>
      <c r="GU356" s="10"/>
      <c r="GV356" s="10"/>
      <c r="GW356" s="10"/>
      <c r="GX356" s="10"/>
      <c r="GY356" s="10"/>
      <c r="GZ356" s="10"/>
      <c r="HA356" s="10"/>
      <c r="HB356" s="10"/>
      <c r="HC356" s="10"/>
      <c r="HD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/>
      <c r="GQ357" s="10"/>
      <c r="GR357" s="10"/>
      <c r="GS357" s="10"/>
      <c r="GT357" s="10"/>
      <c r="GU357" s="10"/>
      <c r="GV357" s="10"/>
      <c r="GW357" s="10"/>
      <c r="GX357" s="10"/>
      <c r="GY357" s="10"/>
      <c r="GZ357" s="10"/>
      <c r="HA357" s="10"/>
      <c r="HB357" s="10"/>
      <c r="HC357" s="10"/>
      <c r="HD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0"/>
      <c r="GZ358" s="10"/>
      <c r="HA358" s="10"/>
      <c r="HB358" s="10"/>
      <c r="HC358" s="10"/>
      <c r="HD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0"/>
      <c r="GZ359" s="10"/>
      <c r="HA359" s="10"/>
      <c r="HB359" s="10"/>
      <c r="HC359" s="10"/>
      <c r="HD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0"/>
      <c r="GZ360" s="10"/>
      <c r="HA360" s="10"/>
      <c r="HB360" s="10"/>
      <c r="HC360" s="10"/>
      <c r="HD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0"/>
      <c r="GZ361" s="10"/>
      <c r="HA361" s="10"/>
      <c r="HB361" s="10"/>
      <c r="HC361" s="10"/>
      <c r="HD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/>
      <c r="GQ362" s="10"/>
      <c r="GR362" s="10"/>
      <c r="GS362" s="10"/>
      <c r="GT362" s="10"/>
      <c r="GU362" s="10"/>
      <c r="GV362" s="10"/>
      <c r="GW362" s="10"/>
      <c r="GX362" s="10"/>
      <c r="GY362" s="10"/>
      <c r="GZ362" s="10"/>
      <c r="HA362" s="10"/>
      <c r="HB362" s="10"/>
      <c r="HC362" s="10"/>
      <c r="HD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/>
      <c r="GQ363" s="10"/>
      <c r="GR363" s="10"/>
      <c r="GS363" s="10"/>
      <c r="GT363" s="10"/>
      <c r="GU363" s="10"/>
      <c r="GV363" s="10"/>
      <c r="GW363" s="10"/>
      <c r="GX363" s="10"/>
      <c r="GY363" s="10"/>
      <c r="GZ363" s="10"/>
      <c r="HA363" s="10"/>
      <c r="HB363" s="10"/>
      <c r="HC363" s="10"/>
      <c r="HD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/>
      <c r="GQ364" s="10"/>
      <c r="GR364" s="10"/>
      <c r="GS364" s="10"/>
      <c r="GT364" s="10"/>
      <c r="GU364" s="10"/>
      <c r="GV364" s="10"/>
      <c r="GW364" s="10"/>
      <c r="GX364" s="10"/>
      <c r="GY364" s="10"/>
      <c r="GZ364" s="10"/>
      <c r="HA364" s="10"/>
      <c r="HB364" s="10"/>
      <c r="HC364" s="10"/>
      <c r="HD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/>
      <c r="GQ365" s="10"/>
      <c r="GR365" s="10"/>
      <c r="GS365" s="10"/>
      <c r="GT365" s="10"/>
      <c r="GU365" s="10"/>
      <c r="GV365" s="10"/>
      <c r="GW365" s="10"/>
      <c r="GX365" s="10"/>
      <c r="GY365" s="10"/>
      <c r="GZ365" s="10"/>
      <c r="HA365" s="10"/>
      <c r="HB365" s="10"/>
      <c r="HC365" s="10"/>
      <c r="HD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/>
      <c r="GQ366" s="10"/>
      <c r="GR366" s="10"/>
      <c r="GS366" s="10"/>
      <c r="GT366" s="10"/>
      <c r="GU366" s="10"/>
      <c r="GV366" s="10"/>
      <c r="GW366" s="10"/>
      <c r="GX366" s="10"/>
      <c r="GY366" s="10"/>
      <c r="GZ366" s="10"/>
      <c r="HA366" s="10"/>
      <c r="HB366" s="10"/>
      <c r="HC366" s="10"/>
      <c r="HD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/>
      <c r="GQ367" s="10"/>
      <c r="GR367" s="10"/>
      <c r="GS367" s="10"/>
      <c r="GT367" s="10"/>
      <c r="GU367" s="10"/>
      <c r="GV367" s="10"/>
      <c r="GW367" s="10"/>
      <c r="GX367" s="10"/>
      <c r="GY367" s="10"/>
      <c r="GZ367" s="10"/>
      <c r="HA367" s="10"/>
      <c r="HB367" s="10"/>
      <c r="HC367" s="10"/>
      <c r="HD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0"/>
      <c r="GZ368" s="10"/>
      <c r="HA368" s="10"/>
      <c r="HB368" s="10"/>
      <c r="HC368" s="10"/>
      <c r="HD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/>
      <c r="GQ369" s="10"/>
      <c r="GR369" s="10"/>
      <c r="GS369" s="10"/>
      <c r="GT369" s="10"/>
      <c r="GU369" s="10"/>
      <c r="GV369" s="10"/>
      <c r="GW369" s="10"/>
      <c r="GX369" s="10"/>
      <c r="GY369" s="10"/>
      <c r="GZ369" s="10"/>
      <c r="HA369" s="10"/>
      <c r="HB369" s="10"/>
      <c r="HC369" s="10"/>
      <c r="HD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/>
      <c r="GQ370" s="10"/>
      <c r="GR370" s="10"/>
      <c r="GS370" s="10"/>
      <c r="GT370" s="10"/>
      <c r="GU370" s="10"/>
      <c r="GV370" s="10"/>
      <c r="GW370" s="10"/>
      <c r="GX370" s="10"/>
      <c r="GY370" s="10"/>
      <c r="GZ370" s="10"/>
      <c r="HA370" s="10"/>
      <c r="HB370" s="10"/>
      <c r="HC370" s="10"/>
      <c r="HD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/>
      <c r="GQ371" s="10"/>
      <c r="GR371" s="10"/>
      <c r="GS371" s="10"/>
      <c r="GT371" s="10"/>
      <c r="GU371" s="10"/>
      <c r="GV371" s="10"/>
      <c r="GW371" s="10"/>
      <c r="GX371" s="10"/>
      <c r="GY371" s="10"/>
      <c r="GZ371" s="10"/>
      <c r="HA371" s="10"/>
      <c r="HB371" s="10"/>
      <c r="HC371" s="10"/>
      <c r="HD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/>
      <c r="GQ372" s="10"/>
      <c r="GR372" s="10"/>
      <c r="GS372" s="10"/>
      <c r="GT372" s="10"/>
      <c r="GU372" s="10"/>
      <c r="GV372" s="10"/>
      <c r="GW372" s="10"/>
      <c r="GX372" s="10"/>
      <c r="GY372" s="10"/>
      <c r="GZ372" s="10"/>
      <c r="HA372" s="10"/>
      <c r="HB372" s="10"/>
      <c r="HC372" s="10"/>
      <c r="HD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/>
      <c r="GQ373" s="10"/>
      <c r="GR373" s="10"/>
      <c r="GS373" s="10"/>
      <c r="GT373" s="10"/>
      <c r="GU373" s="10"/>
      <c r="GV373" s="10"/>
      <c r="GW373" s="10"/>
      <c r="GX373" s="10"/>
      <c r="GY373" s="10"/>
      <c r="GZ373" s="10"/>
      <c r="HA373" s="10"/>
      <c r="HB373" s="10"/>
      <c r="HC373" s="10"/>
      <c r="HD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/>
      <c r="GQ374" s="10"/>
      <c r="GR374" s="10"/>
      <c r="GS374" s="10"/>
      <c r="GT374" s="10"/>
      <c r="GU374" s="10"/>
      <c r="GV374" s="10"/>
      <c r="GW374" s="10"/>
      <c r="GX374" s="10"/>
      <c r="GY374" s="10"/>
      <c r="GZ374" s="10"/>
      <c r="HA374" s="10"/>
      <c r="HB374" s="10"/>
      <c r="HC374" s="10"/>
      <c r="HD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/>
      <c r="GQ375" s="10"/>
      <c r="GR375" s="10"/>
      <c r="GS375" s="10"/>
      <c r="GT375" s="10"/>
      <c r="GU375" s="10"/>
      <c r="GV375" s="10"/>
      <c r="GW375" s="10"/>
      <c r="GX375" s="10"/>
      <c r="GY375" s="10"/>
      <c r="GZ375" s="10"/>
      <c r="HA375" s="10"/>
      <c r="HB375" s="10"/>
      <c r="HC375" s="10"/>
      <c r="HD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/>
      <c r="GQ376" s="10"/>
      <c r="GR376" s="10"/>
      <c r="GS376" s="10"/>
      <c r="GT376" s="10"/>
      <c r="GU376" s="10"/>
      <c r="GV376" s="10"/>
      <c r="GW376" s="10"/>
      <c r="GX376" s="10"/>
      <c r="GY376" s="10"/>
      <c r="GZ376" s="10"/>
      <c r="HA376" s="10"/>
      <c r="HB376" s="10"/>
      <c r="HC376" s="10"/>
      <c r="HD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/>
      <c r="GQ377" s="10"/>
      <c r="GR377" s="10"/>
      <c r="GS377" s="10"/>
      <c r="GT377" s="10"/>
      <c r="GU377" s="10"/>
      <c r="GV377" s="10"/>
      <c r="GW377" s="10"/>
      <c r="GX377" s="10"/>
      <c r="GY377" s="10"/>
      <c r="GZ377" s="10"/>
      <c r="HA377" s="10"/>
      <c r="HB377" s="10"/>
      <c r="HC377" s="10"/>
      <c r="HD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/>
      <c r="GQ378" s="10"/>
      <c r="GR378" s="10"/>
      <c r="GS378" s="10"/>
      <c r="GT378" s="10"/>
      <c r="GU378" s="10"/>
      <c r="GV378" s="10"/>
      <c r="GW378" s="10"/>
      <c r="GX378" s="10"/>
      <c r="GY378" s="10"/>
      <c r="GZ378" s="10"/>
      <c r="HA378" s="10"/>
      <c r="HB378" s="10"/>
      <c r="HC378" s="10"/>
      <c r="HD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/>
      <c r="GQ379" s="10"/>
      <c r="GR379" s="10"/>
      <c r="GS379" s="10"/>
      <c r="GT379" s="10"/>
      <c r="GU379" s="10"/>
      <c r="GV379" s="10"/>
      <c r="GW379" s="10"/>
      <c r="GX379" s="10"/>
      <c r="GY379" s="10"/>
      <c r="GZ379" s="10"/>
      <c r="HA379" s="10"/>
      <c r="HB379" s="10"/>
      <c r="HC379" s="10"/>
      <c r="HD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/>
      <c r="GQ380" s="10"/>
      <c r="GR380" s="10"/>
      <c r="GS380" s="10"/>
      <c r="GT380" s="10"/>
      <c r="GU380" s="10"/>
      <c r="GV380" s="10"/>
      <c r="GW380" s="10"/>
      <c r="GX380" s="10"/>
      <c r="GY380" s="10"/>
      <c r="GZ380" s="10"/>
      <c r="HA380" s="10"/>
      <c r="HB380" s="10"/>
      <c r="HC380" s="10"/>
      <c r="HD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/>
      <c r="GQ381" s="10"/>
      <c r="GR381" s="10"/>
      <c r="GS381" s="10"/>
      <c r="GT381" s="10"/>
      <c r="GU381" s="10"/>
      <c r="GV381" s="10"/>
      <c r="GW381" s="10"/>
      <c r="GX381" s="10"/>
      <c r="GY381" s="10"/>
      <c r="GZ381" s="10"/>
      <c r="HA381" s="10"/>
      <c r="HB381" s="10"/>
      <c r="HC381" s="10"/>
      <c r="HD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/>
      <c r="GQ382" s="10"/>
      <c r="GR382" s="10"/>
      <c r="GS382" s="10"/>
      <c r="GT382" s="10"/>
      <c r="GU382" s="10"/>
      <c r="GV382" s="10"/>
      <c r="GW382" s="10"/>
      <c r="GX382" s="10"/>
      <c r="GY382" s="10"/>
      <c r="GZ382" s="10"/>
      <c r="HA382" s="10"/>
      <c r="HB382" s="10"/>
      <c r="HC382" s="10"/>
      <c r="HD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/>
      <c r="GQ383" s="10"/>
      <c r="GR383" s="10"/>
      <c r="GS383" s="10"/>
      <c r="GT383" s="10"/>
      <c r="GU383" s="10"/>
      <c r="GV383" s="10"/>
      <c r="GW383" s="10"/>
      <c r="GX383" s="10"/>
      <c r="GY383" s="10"/>
      <c r="GZ383" s="10"/>
      <c r="HA383" s="10"/>
      <c r="HB383" s="10"/>
      <c r="HC383" s="10"/>
      <c r="HD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/>
      <c r="GQ384" s="10"/>
      <c r="GR384" s="10"/>
      <c r="GS384" s="10"/>
      <c r="GT384" s="10"/>
      <c r="GU384" s="10"/>
      <c r="GV384" s="10"/>
      <c r="GW384" s="10"/>
      <c r="GX384" s="10"/>
      <c r="GY384" s="10"/>
      <c r="GZ384" s="10"/>
      <c r="HA384" s="10"/>
      <c r="HB384" s="10"/>
      <c r="HC384" s="10"/>
      <c r="HD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/>
      <c r="GQ385" s="10"/>
      <c r="GR385" s="10"/>
      <c r="GS385" s="10"/>
      <c r="GT385" s="10"/>
      <c r="GU385" s="10"/>
      <c r="GV385" s="10"/>
      <c r="GW385" s="10"/>
      <c r="GX385" s="10"/>
      <c r="GY385" s="10"/>
      <c r="GZ385" s="10"/>
      <c r="HA385" s="10"/>
      <c r="HB385" s="10"/>
      <c r="HC385" s="10"/>
      <c r="HD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 s="10"/>
      <c r="GM386" s="10"/>
      <c r="GN386" s="10"/>
      <c r="GO386" s="10"/>
      <c r="GP386" s="10"/>
      <c r="GQ386" s="10"/>
      <c r="GR386" s="10"/>
      <c r="GS386" s="10"/>
      <c r="GT386" s="10"/>
      <c r="GU386" s="10"/>
      <c r="GV386" s="10"/>
      <c r="GW386" s="10"/>
      <c r="GX386" s="10"/>
      <c r="GY386" s="10"/>
      <c r="GZ386" s="10"/>
      <c r="HA386" s="10"/>
      <c r="HB386" s="10"/>
      <c r="HC386" s="10"/>
      <c r="HD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/>
      <c r="GQ387" s="10"/>
      <c r="GR387" s="10"/>
      <c r="GS387" s="10"/>
      <c r="GT387" s="10"/>
      <c r="GU387" s="10"/>
      <c r="GV387" s="10"/>
      <c r="GW387" s="10"/>
      <c r="GX387" s="10"/>
      <c r="GY387" s="10"/>
      <c r="GZ387" s="10"/>
      <c r="HA387" s="10"/>
      <c r="HB387" s="10"/>
      <c r="HC387" s="10"/>
      <c r="HD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/>
      <c r="GQ388" s="10"/>
      <c r="GR388" s="10"/>
      <c r="GS388" s="10"/>
      <c r="GT388" s="10"/>
      <c r="GU388" s="10"/>
      <c r="GV388" s="10"/>
      <c r="GW388" s="10"/>
      <c r="GX388" s="10"/>
      <c r="GY388" s="10"/>
      <c r="GZ388" s="10"/>
      <c r="HA388" s="10"/>
      <c r="HB388" s="10"/>
      <c r="HC388" s="10"/>
      <c r="HD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/>
      <c r="GQ389" s="10"/>
      <c r="GR389" s="10"/>
      <c r="GS389" s="10"/>
      <c r="GT389" s="10"/>
      <c r="GU389" s="10"/>
      <c r="GV389" s="10"/>
      <c r="GW389" s="10"/>
      <c r="GX389" s="10"/>
      <c r="GY389" s="10"/>
      <c r="GZ389" s="10"/>
      <c r="HA389" s="10"/>
      <c r="HB389" s="10"/>
      <c r="HC389" s="10"/>
      <c r="HD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/>
      <c r="GQ390" s="10"/>
      <c r="GR390" s="10"/>
      <c r="GS390" s="10"/>
      <c r="GT390" s="10"/>
      <c r="GU390" s="10"/>
      <c r="GV390" s="10"/>
      <c r="GW390" s="10"/>
      <c r="GX390" s="10"/>
      <c r="GY390" s="10"/>
      <c r="GZ390" s="10"/>
      <c r="HA390" s="10"/>
      <c r="HB390" s="10"/>
      <c r="HC390" s="10"/>
      <c r="HD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/>
      <c r="GQ391" s="10"/>
      <c r="GR391" s="10"/>
      <c r="GS391" s="10"/>
      <c r="GT391" s="10"/>
      <c r="GU391" s="10"/>
      <c r="GV391" s="10"/>
      <c r="GW391" s="10"/>
      <c r="GX391" s="10"/>
      <c r="GY391" s="10"/>
      <c r="GZ391" s="10"/>
      <c r="HA391" s="10"/>
      <c r="HB391" s="10"/>
      <c r="HC391" s="10"/>
      <c r="HD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/>
      <c r="GQ392" s="10"/>
      <c r="GR392" s="10"/>
      <c r="GS392" s="10"/>
      <c r="GT392" s="10"/>
      <c r="GU392" s="10"/>
      <c r="GV392" s="10"/>
      <c r="GW392" s="10"/>
      <c r="GX392" s="10"/>
      <c r="GY392" s="10"/>
      <c r="GZ392" s="10"/>
      <c r="HA392" s="10"/>
      <c r="HB392" s="10"/>
      <c r="HC392" s="10"/>
      <c r="HD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/>
      <c r="GQ393" s="10"/>
      <c r="GR393" s="10"/>
      <c r="GS393" s="10"/>
      <c r="GT393" s="10"/>
      <c r="GU393" s="10"/>
      <c r="GV393" s="10"/>
      <c r="GW393" s="10"/>
      <c r="GX393" s="10"/>
      <c r="GY393" s="10"/>
      <c r="GZ393" s="10"/>
      <c r="HA393" s="10"/>
      <c r="HB393" s="10"/>
      <c r="HC393" s="10"/>
      <c r="HD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/>
      <c r="GQ394" s="10"/>
      <c r="GR394" s="10"/>
      <c r="GS394" s="10"/>
      <c r="GT394" s="10"/>
      <c r="GU394" s="10"/>
      <c r="GV394" s="10"/>
      <c r="GW394" s="10"/>
      <c r="GX394" s="10"/>
      <c r="GY394" s="10"/>
      <c r="GZ394" s="10"/>
      <c r="HA394" s="10"/>
      <c r="HB394" s="10"/>
      <c r="HC394" s="10"/>
      <c r="HD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/>
      <c r="GQ395" s="10"/>
      <c r="GR395" s="10"/>
      <c r="GS395" s="10"/>
      <c r="GT395" s="10"/>
      <c r="GU395" s="10"/>
      <c r="GV395" s="10"/>
      <c r="GW395" s="10"/>
      <c r="GX395" s="10"/>
      <c r="GY395" s="10"/>
      <c r="GZ395" s="10"/>
      <c r="HA395" s="10"/>
      <c r="HB395" s="10"/>
      <c r="HC395" s="10"/>
      <c r="HD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/>
      <c r="GQ396" s="10"/>
      <c r="GR396" s="10"/>
      <c r="GS396" s="10"/>
      <c r="GT396" s="10"/>
      <c r="GU396" s="10"/>
      <c r="GV396" s="10"/>
      <c r="GW396" s="10"/>
      <c r="GX396" s="10"/>
      <c r="GY396" s="10"/>
      <c r="GZ396" s="10"/>
      <c r="HA396" s="10"/>
      <c r="HB396" s="10"/>
      <c r="HC396" s="10"/>
      <c r="HD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/>
      <c r="GQ397" s="10"/>
      <c r="GR397" s="10"/>
      <c r="GS397" s="10"/>
      <c r="GT397" s="10"/>
      <c r="GU397" s="10"/>
      <c r="GV397" s="10"/>
      <c r="GW397" s="10"/>
      <c r="GX397" s="10"/>
      <c r="GY397" s="10"/>
      <c r="GZ397" s="10"/>
      <c r="HA397" s="10"/>
      <c r="HB397" s="10"/>
      <c r="HC397" s="10"/>
      <c r="HD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/>
      <c r="GQ398" s="10"/>
      <c r="GR398" s="10"/>
      <c r="GS398" s="10"/>
      <c r="GT398" s="10"/>
      <c r="GU398" s="10"/>
      <c r="GV398" s="10"/>
      <c r="GW398" s="10"/>
      <c r="GX398" s="10"/>
      <c r="GY398" s="10"/>
      <c r="GZ398" s="10"/>
      <c r="HA398" s="10"/>
      <c r="HB398" s="10"/>
      <c r="HC398" s="10"/>
      <c r="HD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/>
      <c r="GQ399" s="10"/>
      <c r="GR399" s="10"/>
      <c r="GS399" s="10"/>
      <c r="GT399" s="10"/>
      <c r="GU399" s="10"/>
      <c r="GV399" s="10"/>
      <c r="GW399" s="10"/>
      <c r="GX399" s="10"/>
      <c r="GY399" s="10"/>
      <c r="GZ399" s="10"/>
      <c r="HA399" s="10"/>
      <c r="HB399" s="10"/>
      <c r="HC399" s="10"/>
      <c r="HD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/>
      <c r="GQ400" s="10"/>
      <c r="GR400" s="10"/>
      <c r="GS400" s="10"/>
      <c r="GT400" s="10"/>
      <c r="GU400" s="10"/>
      <c r="GV400" s="10"/>
      <c r="GW400" s="10"/>
      <c r="GX400" s="10"/>
      <c r="GY400" s="10"/>
      <c r="GZ400" s="10"/>
      <c r="HA400" s="10"/>
      <c r="HB400" s="10"/>
      <c r="HC400" s="10"/>
      <c r="HD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/>
      <c r="GQ401" s="10"/>
      <c r="GR401" s="10"/>
      <c r="GS401" s="10"/>
      <c r="GT401" s="10"/>
      <c r="GU401" s="10"/>
      <c r="GV401" s="10"/>
      <c r="GW401" s="10"/>
      <c r="GX401" s="10"/>
      <c r="GY401" s="10"/>
      <c r="GZ401" s="10"/>
      <c r="HA401" s="10"/>
      <c r="HB401" s="10"/>
      <c r="HC401" s="10"/>
      <c r="HD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/>
      <c r="GQ402" s="10"/>
      <c r="GR402" s="10"/>
      <c r="GS402" s="10"/>
      <c r="GT402" s="10"/>
      <c r="GU402" s="10"/>
      <c r="GV402" s="10"/>
      <c r="GW402" s="10"/>
      <c r="GX402" s="10"/>
      <c r="GY402" s="10"/>
      <c r="GZ402" s="10"/>
      <c r="HA402" s="10"/>
      <c r="HB402" s="10"/>
      <c r="HC402" s="10"/>
      <c r="HD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0"/>
      <c r="GZ403" s="10"/>
      <c r="HA403" s="10"/>
      <c r="HB403" s="10"/>
      <c r="HC403" s="10"/>
      <c r="HD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/>
      <c r="GQ404" s="10"/>
      <c r="GR404" s="10"/>
      <c r="GS404" s="10"/>
      <c r="GT404" s="10"/>
      <c r="GU404" s="10"/>
      <c r="GV404" s="10"/>
      <c r="GW404" s="10"/>
      <c r="GX404" s="10"/>
      <c r="GY404" s="10"/>
      <c r="GZ404" s="10"/>
      <c r="HA404" s="10"/>
      <c r="HB404" s="10"/>
      <c r="HC404" s="10"/>
      <c r="HD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0"/>
      <c r="GZ405" s="10"/>
      <c r="HA405" s="10"/>
      <c r="HB405" s="10"/>
      <c r="HC405" s="10"/>
      <c r="HD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0"/>
      <c r="GZ406" s="10"/>
      <c r="HA406" s="10"/>
      <c r="HB406" s="10"/>
      <c r="HC406" s="10"/>
      <c r="HD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0"/>
      <c r="GZ407" s="10"/>
      <c r="HA407" s="10"/>
      <c r="HB407" s="10"/>
      <c r="HC407" s="10"/>
      <c r="HD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/>
      <c r="GQ408" s="10"/>
      <c r="GR408" s="10"/>
      <c r="GS408" s="10"/>
      <c r="GT408" s="10"/>
      <c r="GU408" s="10"/>
      <c r="GV408" s="10"/>
      <c r="GW408" s="10"/>
      <c r="GX408" s="10"/>
      <c r="GY408" s="10"/>
      <c r="GZ408" s="10"/>
      <c r="HA408" s="10"/>
      <c r="HB408" s="10"/>
      <c r="HC408" s="10"/>
      <c r="HD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/>
      <c r="GQ409" s="10"/>
      <c r="GR409" s="10"/>
      <c r="GS409" s="10"/>
      <c r="GT409" s="10"/>
      <c r="GU409" s="10"/>
      <c r="GV409" s="10"/>
      <c r="GW409" s="10"/>
      <c r="GX409" s="10"/>
      <c r="GY409" s="10"/>
      <c r="GZ409" s="10"/>
      <c r="HA409" s="10"/>
      <c r="HB409" s="10"/>
      <c r="HC409" s="10"/>
      <c r="HD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/>
      <c r="GQ410" s="10"/>
      <c r="GR410" s="10"/>
      <c r="GS410" s="10"/>
      <c r="GT410" s="10"/>
      <c r="GU410" s="10"/>
      <c r="GV410" s="10"/>
      <c r="GW410" s="10"/>
      <c r="GX410" s="10"/>
      <c r="GY410" s="10"/>
      <c r="GZ410" s="10"/>
      <c r="HA410" s="10"/>
      <c r="HB410" s="10"/>
      <c r="HC410" s="10"/>
      <c r="HD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/>
      <c r="GQ411" s="10"/>
      <c r="GR411" s="10"/>
      <c r="GS411" s="10"/>
      <c r="GT411" s="10"/>
      <c r="GU411" s="10"/>
      <c r="GV411" s="10"/>
      <c r="GW411" s="10"/>
      <c r="GX411" s="10"/>
      <c r="GY411" s="10"/>
      <c r="GZ411" s="10"/>
      <c r="HA411" s="10"/>
      <c r="HB411" s="10"/>
      <c r="HC411" s="10"/>
      <c r="HD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/>
      <c r="GQ412" s="10"/>
      <c r="GR412" s="10"/>
      <c r="GS412" s="10"/>
      <c r="GT412" s="10"/>
      <c r="GU412" s="10"/>
      <c r="GV412" s="10"/>
      <c r="GW412" s="10"/>
      <c r="GX412" s="10"/>
      <c r="GY412" s="10"/>
      <c r="GZ412" s="10"/>
      <c r="HA412" s="10"/>
      <c r="HB412" s="10"/>
      <c r="HC412" s="10"/>
      <c r="HD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/>
      <c r="GQ413" s="10"/>
      <c r="GR413" s="10"/>
      <c r="GS413" s="10"/>
      <c r="GT413" s="10"/>
      <c r="GU413" s="10"/>
      <c r="GV413" s="10"/>
      <c r="GW413" s="10"/>
      <c r="GX413" s="10"/>
      <c r="GY413" s="10"/>
      <c r="GZ413" s="10"/>
      <c r="HA413" s="10"/>
      <c r="HB413" s="10"/>
      <c r="HC413" s="10"/>
      <c r="HD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/>
      <c r="GQ414" s="10"/>
      <c r="GR414" s="10"/>
      <c r="GS414" s="10"/>
      <c r="GT414" s="10"/>
      <c r="GU414" s="10"/>
      <c r="GV414" s="10"/>
      <c r="GW414" s="10"/>
      <c r="GX414" s="10"/>
      <c r="GY414" s="10"/>
      <c r="GZ414" s="10"/>
      <c r="HA414" s="10"/>
      <c r="HB414" s="10"/>
      <c r="HC414" s="10"/>
      <c r="HD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/>
      <c r="GQ415" s="10"/>
      <c r="GR415" s="10"/>
      <c r="GS415" s="10"/>
      <c r="GT415" s="10"/>
      <c r="GU415" s="10"/>
      <c r="GV415" s="10"/>
      <c r="GW415" s="10"/>
      <c r="GX415" s="10"/>
      <c r="GY415" s="10"/>
      <c r="GZ415" s="10"/>
      <c r="HA415" s="10"/>
      <c r="HB415" s="10"/>
      <c r="HC415" s="10"/>
      <c r="HD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/>
      <c r="GQ416" s="10"/>
      <c r="GR416" s="10"/>
      <c r="GS416" s="10"/>
      <c r="GT416" s="10"/>
      <c r="GU416" s="10"/>
      <c r="GV416" s="10"/>
      <c r="GW416" s="10"/>
      <c r="GX416" s="10"/>
      <c r="GY416" s="10"/>
      <c r="GZ416" s="10"/>
      <c r="HA416" s="10"/>
      <c r="HB416" s="10"/>
      <c r="HC416" s="10"/>
      <c r="HD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/>
      <c r="GQ417" s="10"/>
      <c r="GR417" s="10"/>
      <c r="GS417" s="10"/>
      <c r="GT417" s="10"/>
      <c r="GU417" s="10"/>
      <c r="GV417" s="10"/>
      <c r="GW417" s="10"/>
      <c r="GX417" s="10"/>
      <c r="GY417" s="10"/>
      <c r="GZ417" s="10"/>
      <c r="HA417" s="10"/>
      <c r="HB417" s="10"/>
      <c r="HC417" s="10"/>
      <c r="HD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/>
      <c r="GQ418" s="10"/>
      <c r="GR418" s="10"/>
      <c r="GS418" s="10"/>
      <c r="GT418" s="10"/>
      <c r="GU418" s="10"/>
      <c r="GV418" s="10"/>
      <c r="GW418" s="10"/>
      <c r="GX418" s="10"/>
      <c r="GY418" s="10"/>
      <c r="GZ418" s="10"/>
      <c r="HA418" s="10"/>
      <c r="HB418" s="10"/>
      <c r="HC418" s="10"/>
      <c r="HD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/>
      <c r="GQ419" s="10"/>
      <c r="GR419" s="10"/>
      <c r="GS419" s="10"/>
      <c r="GT419" s="10"/>
      <c r="GU419" s="10"/>
      <c r="GV419" s="10"/>
      <c r="GW419" s="10"/>
      <c r="GX419" s="10"/>
      <c r="GY419" s="10"/>
      <c r="GZ419" s="10"/>
      <c r="HA419" s="10"/>
      <c r="HB419" s="10"/>
      <c r="HC419" s="10"/>
      <c r="HD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/>
      <c r="GQ420" s="10"/>
      <c r="GR420" s="10"/>
      <c r="GS420" s="10"/>
      <c r="GT420" s="10"/>
      <c r="GU420" s="10"/>
      <c r="GV420" s="10"/>
      <c r="GW420" s="10"/>
      <c r="GX420" s="10"/>
      <c r="GY420" s="10"/>
      <c r="GZ420" s="10"/>
      <c r="HA420" s="10"/>
      <c r="HB420" s="10"/>
      <c r="HC420" s="10"/>
      <c r="HD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/>
      <c r="GQ421" s="10"/>
      <c r="GR421" s="10"/>
      <c r="GS421" s="10"/>
      <c r="GT421" s="10"/>
      <c r="GU421" s="10"/>
      <c r="GV421" s="10"/>
      <c r="GW421" s="10"/>
      <c r="GX421" s="10"/>
      <c r="GY421" s="10"/>
      <c r="GZ421" s="10"/>
      <c r="HA421" s="10"/>
      <c r="HB421" s="10"/>
      <c r="HC421" s="10"/>
      <c r="HD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/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/>
      <c r="GQ422" s="10"/>
      <c r="GR422" s="10"/>
      <c r="GS422" s="10"/>
      <c r="GT422" s="10"/>
      <c r="GU422" s="10"/>
      <c r="GV422" s="10"/>
      <c r="GW422" s="10"/>
      <c r="GX422" s="10"/>
      <c r="GY422" s="10"/>
      <c r="GZ422" s="10"/>
      <c r="HA422" s="10"/>
      <c r="HB422" s="10"/>
      <c r="HC422" s="10"/>
      <c r="HD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/>
      <c r="GQ423" s="10"/>
      <c r="GR423" s="10"/>
      <c r="GS423" s="10"/>
      <c r="GT423" s="10"/>
      <c r="GU423" s="10"/>
      <c r="GV423" s="10"/>
      <c r="GW423" s="10"/>
      <c r="GX423" s="10"/>
      <c r="GY423" s="10"/>
      <c r="GZ423" s="10"/>
      <c r="HA423" s="10"/>
      <c r="HB423" s="10"/>
      <c r="HC423" s="10"/>
      <c r="HD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/>
      <c r="GQ424" s="10"/>
      <c r="GR424" s="10"/>
      <c r="GS424" s="10"/>
      <c r="GT424" s="10"/>
      <c r="GU424" s="10"/>
      <c r="GV424" s="10"/>
      <c r="GW424" s="10"/>
      <c r="GX424" s="10"/>
      <c r="GY424" s="10"/>
      <c r="GZ424" s="10"/>
      <c r="HA424" s="10"/>
      <c r="HB424" s="10"/>
      <c r="HC424" s="10"/>
      <c r="HD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/>
      <c r="GQ425" s="10"/>
      <c r="GR425" s="10"/>
      <c r="GS425" s="10"/>
      <c r="GT425" s="10"/>
      <c r="GU425" s="10"/>
      <c r="GV425" s="10"/>
      <c r="GW425" s="10"/>
      <c r="GX425" s="10"/>
      <c r="GY425" s="10"/>
      <c r="GZ425" s="10"/>
      <c r="HA425" s="10"/>
      <c r="HB425" s="10"/>
      <c r="HC425" s="10"/>
      <c r="HD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/>
      <c r="GQ426" s="10"/>
      <c r="GR426" s="10"/>
      <c r="GS426" s="10"/>
      <c r="GT426" s="10"/>
      <c r="GU426" s="10"/>
      <c r="GV426" s="10"/>
      <c r="GW426" s="10"/>
      <c r="GX426" s="10"/>
      <c r="GY426" s="10"/>
      <c r="GZ426" s="10"/>
      <c r="HA426" s="10"/>
      <c r="HB426" s="10"/>
      <c r="HC426" s="10"/>
      <c r="HD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/>
      <c r="GQ427" s="10"/>
      <c r="GR427" s="10"/>
      <c r="GS427" s="10"/>
      <c r="GT427" s="10"/>
      <c r="GU427" s="10"/>
      <c r="GV427" s="10"/>
      <c r="GW427" s="10"/>
      <c r="GX427" s="10"/>
      <c r="GY427" s="10"/>
      <c r="GZ427" s="10"/>
      <c r="HA427" s="10"/>
      <c r="HB427" s="10"/>
      <c r="HC427" s="10"/>
      <c r="HD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0"/>
      <c r="GZ428" s="10"/>
      <c r="HA428" s="10"/>
      <c r="HB428" s="10"/>
      <c r="HC428" s="10"/>
      <c r="HD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/>
      <c r="GQ429" s="10"/>
      <c r="GR429" s="10"/>
      <c r="GS429" s="10"/>
      <c r="GT429" s="10"/>
      <c r="GU429" s="10"/>
      <c r="GV429" s="10"/>
      <c r="GW429" s="10"/>
      <c r="GX429" s="10"/>
      <c r="GY429" s="10"/>
      <c r="GZ429" s="10"/>
      <c r="HA429" s="10"/>
      <c r="HB429" s="10"/>
      <c r="HC429" s="10"/>
      <c r="HD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/>
      <c r="GQ430" s="10"/>
      <c r="GR430" s="10"/>
      <c r="GS430" s="10"/>
      <c r="GT430" s="10"/>
      <c r="GU430" s="10"/>
      <c r="GV430" s="10"/>
      <c r="GW430" s="10"/>
      <c r="GX430" s="10"/>
      <c r="GY430" s="10"/>
      <c r="GZ430" s="10"/>
      <c r="HA430" s="10"/>
      <c r="HB430" s="10"/>
      <c r="HC430" s="10"/>
      <c r="HD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/>
      <c r="GQ431" s="10"/>
      <c r="GR431" s="10"/>
      <c r="GS431" s="10"/>
      <c r="GT431" s="10"/>
      <c r="GU431" s="10"/>
      <c r="GV431" s="10"/>
      <c r="GW431" s="10"/>
      <c r="GX431" s="10"/>
      <c r="GY431" s="10"/>
      <c r="GZ431" s="10"/>
      <c r="HA431" s="10"/>
      <c r="HB431" s="10"/>
      <c r="HC431" s="10"/>
      <c r="HD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/>
      <c r="GQ432" s="10"/>
      <c r="GR432" s="10"/>
      <c r="GS432" s="10"/>
      <c r="GT432" s="10"/>
      <c r="GU432" s="10"/>
      <c r="GV432" s="10"/>
      <c r="GW432" s="10"/>
      <c r="GX432" s="10"/>
      <c r="GY432" s="10"/>
      <c r="GZ432" s="10"/>
      <c r="HA432" s="10"/>
      <c r="HB432" s="10"/>
      <c r="HC432" s="10"/>
      <c r="HD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/>
      <c r="GQ433" s="10"/>
      <c r="GR433" s="10"/>
      <c r="GS433" s="10"/>
      <c r="GT433" s="10"/>
      <c r="GU433" s="10"/>
      <c r="GV433" s="10"/>
      <c r="GW433" s="10"/>
      <c r="GX433" s="10"/>
      <c r="GY433" s="10"/>
      <c r="GZ433" s="10"/>
      <c r="HA433" s="10"/>
      <c r="HB433" s="10"/>
      <c r="HC433" s="10"/>
      <c r="HD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/>
      <c r="GQ434" s="10"/>
      <c r="GR434" s="10"/>
      <c r="GS434" s="10"/>
      <c r="GT434" s="10"/>
      <c r="GU434" s="10"/>
      <c r="GV434" s="10"/>
      <c r="GW434" s="10"/>
      <c r="GX434" s="10"/>
      <c r="GY434" s="10"/>
      <c r="GZ434" s="10"/>
      <c r="HA434" s="10"/>
      <c r="HB434" s="10"/>
      <c r="HC434" s="10"/>
      <c r="HD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/>
      <c r="GQ435" s="10"/>
      <c r="GR435" s="10"/>
      <c r="GS435" s="10"/>
      <c r="GT435" s="10"/>
      <c r="GU435" s="10"/>
      <c r="GV435" s="10"/>
      <c r="GW435" s="10"/>
      <c r="GX435" s="10"/>
      <c r="GY435" s="10"/>
      <c r="GZ435" s="10"/>
      <c r="HA435" s="10"/>
      <c r="HB435" s="10"/>
      <c r="HC435" s="10"/>
      <c r="HD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/>
      <c r="ET436" s="10"/>
      <c r="EU436" s="10"/>
      <c r="EV436" s="10"/>
      <c r="EW436" s="10"/>
      <c r="EX436" s="10"/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/>
      <c r="GQ436" s="10"/>
      <c r="GR436" s="10"/>
      <c r="GS436" s="10"/>
      <c r="GT436" s="10"/>
      <c r="GU436" s="10"/>
      <c r="GV436" s="10"/>
      <c r="GW436" s="10"/>
      <c r="GX436" s="10"/>
      <c r="GY436" s="10"/>
      <c r="GZ436" s="10"/>
      <c r="HA436" s="10"/>
      <c r="HB436" s="10"/>
      <c r="HC436" s="10"/>
      <c r="HD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/>
      <c r="GQ437" s="10"/>
      <c r="GR437" s="10"/>
      <c r="GS437" s="10"/>
      <c r="GT437" s="10"/>
      <c r="GU437" s="10"/>
      <c r="GV437" s="10"/>
      <c r="GW437" s="10"/>
      <c r="GX437" s="10"/>
      <c r="GY437" s="10"/>
      <c r="GZ437" s="10"/>
      <c r="HA437" s="10"/>
      <c r="HB437" s="10"/>
      <c r="HC437" s="10"/>
      <c r="HD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/>
      <c r="GQ438" s="10"/>
      <c r="GR438" s="10"/>
      <c r="GS438" s="10"/>
      <c r="GT438" s="10"/>
      <c r="GU438" s="10"/>
      <c r="GV438" s="10"/>
      <c r="GW438" s="10"/>
      <c r="GX438" s="10"/>
      <c r="GY438" s="10"/>
      <c r="GZ438" s="10"/>
      <c r="HA438" s="10"/>
      <c r="HB438" s="10"/>
      <c r="HC438" s="10"/>
      <c r="HD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/>
      <c r="GQ439" s="10"/>
      <c r="GR439" s="10"/>
      <c r="GS439" s="10"/>
      <c r="GT439" s="10"/>
      <c r="GU439" s="10"/>
      <c r="GV439" s="10"/>
      <c r="GW439" s="10"/>
      <c r="GX439" s="10"/>
      <c r="GY439" s="10"/>
      <c r="GZ439" s="10"/>
      <c r="HA439" s="10"/>
      <c r="HB439" s="10"/>
      <c r="HC439" s="10"/>
      <c r="HD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/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/>
      <c r="GQ440" s="10"/>
      <c r="GR440" s="10"/>
      <c r="GS440" s="10"/>
      <c r="GT440" s="10"/>
      <c r="GU440" s="10"/>
      <c r="GV440" s="10"/>
      <c r="GW440" s="10"/>
      <c r="GX440" s="10"/>
      <c r="GY440" s="10"/>
      <c r="GZ440" s="10"/>
      <c r="HA440" s="10"/>
      <c r="HB440" s="10"/>
      <c r="HC440" s="10"/>
      <c r="HD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/>
      <c r="GQ441" s="10"/>
      <c r="GR441" s="10"/>
      <c r="GS441" s="10"/>
      <c r="GT441" s="10"/>
      <c r="GU441" s="10"/>
      <c r="GV441" s="10"/>
      <c r="GW441" s="10"/>
      <c r="GX441" s="10"/>
      <c r="GY441" s="10"/>
      <c r="GZ441" s="10"/>
      <c r="HA441" s="10"/>
      <c r="HB441" s="10"/>
      <c r="HC441" s="10"/>
      <c r="HD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/>
      <c r="GQ442" s="10"/>
      <c r="GR442" s="10"/>
      <c r="GS442" s="10"/>
      <c r="GT442" s="10"/>
      <c r="GU442" s="10"/>
      <c r="GV442" s="10"/>
      <c r="GW442" s="10"/>
      <c r="GX442" s="10"/>
      <c r="GY442" s="10"/>
      <c r="GZ442" s="10"/>
      <c r="HA442" s="10"/>
      <c r="HB442" s="10"/>
      <c r="HC442" s="10"/>
      <c r="HD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/>
      <c r="GQ443" s="10"/>
      <c r="GR443" s="10"/>
      <c r="GS443" s="10"/>
      <c r="GT443" s="10"/>
      <c r="GU443" s="10"/>
      <c r="GV443" s="10"/>
      <c r="GW443" s="10"/>
      <c r="GX443" s="10"/>
      <c r="GY443" s="10"/>
      <c r="GZ443" s="10"/>
      <c r="HA443" s="10"/>
      <c r="HB443" s="10"/>
      <c r="HC443" s="10"/>
      <c r="HD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/>
      <c r="GQ444" s="10"/>
      <c r="GR444" s="10"/>
      <c r="GS444" s="10"/>
      <c r="GT444" s="10"/>
      <c r="GU444" s="10"/>
      <c r="GV444" s="10"/>
      <c r="GW444" s="10"/>
      <c r="GX444" s="10"/>
      <c r="GY444" s="10"/>
      <c r="GZ444" s="10"/>
      <c r="HA444" s="10"/>
      <c r="HB444" s="10"/>
      <c r="HC444" s="10"/>
      <c r="HD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/>
      <c r="GQ445" s="10"/>
      <c r="GR445" s="10"/>
      <c r="GS445" s="10"/>
      <c r="GT445" s="10"/>
      <c r="GU445" s="10"/>
      <c r="GV445" s="10"/>
      <c r="GW445" s="10"/>
      <c r="GX445" s="10"/>
      <c r="GY445" s="10"/>
      <c r="GZ445" s="10"/>
      <c r="HA445" s="10"/>
      <c r="HB445" s="10"/>
      <c r="HC445" s="10"/>
      <c r="HD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/>
      <c r="GQ446" s="10"/>
      <c r="GR446" s="10"/>
      <c r="GS446" s="10"/>
      <c r="GT446" s="10"/>
      <c r="GU446" s="10"/>
      <c r="GV446" s="10"/>
      <c r="GW446" s="10"/>
      <c r="GX446" s="10"/>
      <c r="GY446" s="10"/>
      <c r="GZ446" s="10"/>
      <c r="HA446" s="10"/>
      <c r="HB446" s="10"/>
      <c r="HC446" s="10"/>
      <c r="HD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  <c r="EL447" s="10"/>
      <c r="EM447" s="10"/>
      <c r="EN447" s="10"/>
      <c r="EO447" s="10"/>
      <c r="EP447" s="10"/>
      <c r="EQ447" s="10"/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/>
      <c r="GP447" s="10"/>
      <c r="GQ447" s="10"/>
      <c r="GR447" s="10"/>
      <c r="GS447" s="10"/>
      <c r="GT447" s="10"/>
      <c r="GU447" s="10"/>
      <c r="GV447" s="10"/>
      <c r="GW447" s="10"/>
      <c r="GX447" s="10"/>
      <c r="GY447" s="10"/>
      <c r="GZ447" s="10"/>
      <c r="HA447" s="10"/>
      <c r="HB447" s="10"/>
      <c r="HC447" s="10"/>
      <c r="HD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/>
      <c r="GQ448" s="10"/>
      <c r="GR448" s="10"/>
      <c r="GS448" s="10"/>
      <c r="GT448" s="10"/>
      <c r="GU448" s="10"/>
      <c r="GV448" s="10"/>
      <c r="GW448" s="10"/>
      <c r="GX448" s="10"/>
      <c r="GY448" s="10"/>
      <c r="GZ448" s="10"/>
      <c r="HA448" s="10"/>
      <c r="HB448" s="10"/>
      <c r="HC448" s="10"/>
      <c r="HD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/>
      <c r="GQ449" s="10"/>
      <c r="GR449" s="10"/>
      <c r="GS449" s="10"/>
      <c r="GT449" s="10"/>
      <c r="GU449" s="10"/>
      <c r="GV449" s="10"/>
      <c r="GW449" s="10"/>
      <c r="GX449" s="10"/>
      <c r="GY449" s="10"/>
      <c r="GZ449" s="10"/>
      <c r="HA449" s="10"/>
      <c r="HB449" s="10"/>
      <c r="HC449" s="10"/>
      <c r="HD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  <c r="EL450" s="10"/>
      <c r="EM450" s="10"/>
      <c r="EN450" s="10"/>
      <c r="EO450" s="10"/>
      <c r="EP450" s="10"/>
      <c r="EQ450" s="10"/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/>
      <c r="GH450" s="10"/>
      <c r="GI450" s="10"/>
      <c r="GJ450" s="10"/>
      <c r="GK450" s="10"/>
      <c r="GL450" s="10"/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0"/>
      <c r="GZ450" s="10"/>
      <c r="HA450" s="10"/>
      <c r="HB450" s="10"/>
      <c r="HC450" s="10"/>
      <c r="HD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/>
      <c r="GQ451" s="10"/>
      <c r="GR451" s="10"/>
      <c r="GS451" s="10"/>
      <c r="GT451" s="10"/>
      <c r="GU451" s="10"/>
      <c r="GV451" s="10"/>
      <c r="GW451" s="10"/>
      <c r="GX451" s="10"/>
      <c r="GY451" s="10"/>
      <c r="GZ451" s="10"/>
      <c r="HA451" s="10"/>
      <c r="HB451" s="10"/>
      <c r="HC451" s="10"/>
      <c r="HD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/>
      <c r="GQ452" s="10"/>
      <c r="GR452" s="10"/>
      <c r="GS452" s="10"/>
      <c r="GT452" s="10"/>
      <c r="GU452" s="10"/>
      <c r="GV452" s="10"/>
      <c r="GW452" s="10"/>
      <c r="GX452" s="10"/>
      <c r="GY452" s="10"/>
      <c r="GZ452" s="10"/>
      <c r="HA452" s="10"/>
      <c r="HB452" s="10"/>
      <c r="HC452" s="10"/>
      <c r="HD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/>
      <c r="GQ453" s="10"/>
      <c r="GR453" s="10"/>
      <c r="GS453" s="10"/>
      <c r="GT453" s="10"/>
      <c r="GU453" s="10"/>
      <c r="GV453" s="10"/>
      <c r="GW453" s="10"/>
      <c r="GX453" s="10"/>
      <c r="GY453" s="10"/>
      <c r="GZ453" s="10"/>
      <c r="HA453" s="10"/>
      <c r="HB453" s="10"/>
      <c r="HC453" s="10"/>
      <c r="HD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/>
      <c r="GQ454" s="10"/>
      <c r="GR454" s="10"/>
      <c r="GS454" s="10"/>
      <c r="GT454" s="10"/>
      <c r="GU454" s="10"/>
      <c r="GV454" s="10"/>
      <c r="GW454" s="10"/>
      <c r="GX454" s="10"/>
      <c r="GY454" s="10"/>
      <c r="GZ454" s="10"/>
      <c r="HA454" s="10"/>
      <c r="HB454" s="10"/>
      <c r="HC454" s="10"/>
      <c r="HD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/>
      <c r="GQ455" s="10"/>
      <c r="GR455" s="10"/>
      <c r="GS455" s="10"/>
      <c r="GT455" s="10"/>
      <c r="GU455" s="10"/>
      <c r="GV455" s="10"/>
      <c r="GW455" s="10"/>
      <c r="GX455" s="10"/>
      <c r="GY455" s="10"/>
      <c r="GZ455" s="10"/>
      <c r="HA455" s="10"/>
      <c r="HB455" s="10"/>
      <c r="HC455" s="10"/>
      <c r="HD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/>
      <c r="GQ456" s="10"/>
      <c r="GR456" s="10"/>
      <c r="GS456" s="10"/>
      <c r="GT456" s="10"/>
      <c r="GU456" s="10"/>
      <c r="GV456" s="10"/>
      <c r="GW456" s="10"/>
      <c r="GX456" s="10"/>
      <c r="GY456" s="10"/>
      <c r="GZ456" s="10"/>
      <c r="HA456" s="10"/>
      <c r="HB456" s="10"/>
      <c r="HC456" s="10"/>
      <c r="HD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/>
      <c r="GQ457" s="10"/>
      <c r="GR457" s="10"/>
      <c r="GS457" s="10"/>
      <c r="GT457" s="10"/>
      <c r="GU457" s="10"/>
      <c r="GV457" s="10"/>
      <c r="GW457" s="10"/>
      <c r="GX457" s="10"/>
      <c r="GY457" s="10"/>
      <c r="GZ457" s="10"/>
      <c r="HA457" s="10"/>
      <c r="HB457" s="10"/>
      <c r="HC457" s="10"/>
      <c r="HD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/>
      <c r="GQ458" s="10"/>
      <c r="GR458" s="10"/>
      <c r="GS458" s="10"/>
      <c r="GT458" s="10"/>
      <c r="GU458" s="10"/>
      <c r="GV458" s="10"/>
      <c r="GW458" s="10"/>
      <c r="GX458" s="10"/>
      <c r="GY458" s="10"/>
      <c r="GZ458" s="10"/>
      <c r="HA458" s="10"/>
      <c r="HB458" s="10"/>
      <c r="HC458" s="10"/>
      <c r="HD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/>
      <c r="GQ459" s="10"/>
      <c r="GR459" s="10"/>
      <c r="GS459" s="10"/>
      <c r="GT459" s="10"/>
      <c r="GU459" s="10"/>
      <c r="GV459" s="10"/>
      <c r="GW459" s="10"/>
      <c r="GX459" s="10"/>
      <c r="GY459" s="10"/>
      <c r="GZ459" s="10"/>
      <c r="HA459" s="10"/>
      <c r="HB459" s="10"/>
      <c r="HC459" s="10"/>
      <c r="HD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/>
      <c r="GH460" s="10"/>
      <c r="GI460" s="10"/>
      <c r="GJ460" s="10"/>
      <c r="GK460" s="10"/>
      <c r="GL460" s="10"/>
      <c r="GM460" s="10"/>
      <c r="GN460" s="10"/>
      <c r="GO460" s="10"/>
      <c r="GP460" s="10"/>
      <c r="GQ460" s="10"/>
      <c r="GR460" s="10"/>
      <c r="GS460" s="10"/>
      <c r="GT460" s="10"/>
      <c r="GU460" s="10"/>
      <c r="GV460" s="10"/>
      <c r="GW460" s="10"/>
      <c r="GX460" s="10"/>
      <c r="GY460" s="10"/>
      <c r="GZ460" s="10"/>
      <c r="HA460" s="10"/>
      <c r="HB460" s="10"/>
      <c r="HC460" s="10"/>
      <c r="HD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/>
      <c r="GQ461" s="10"/>
      <c r="GR461" s="10"/>
      <c r="GS461" s="10"/>
      <c r="GT461" s="10"/>
      <c r="GU461" s="10"/>
      <c r="GV461" s="10"/>
      <c r="GW461" s="10"/>
      <c r="GX461" s="10"/>
      <c r="GY461" s="10"/>
      <c r="GZ461" s="10"/>
      <c r="HA461" s="10"/>
      <c r="HB461" s="10"/>
      <c r="HC461" s="10"/>
      <c r="HD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/>
      <c r="GQ462" s="10"/>
      <c r="GR462" s="10"/>
      <c r="GS462" s="10"/>
      <c r="GT462" s="10"/>
      <c r="GU462" s="10"/>
      <c r="GV462" s="10"/>
      <c r="GW462" s="10"/>
      <c r="GX462" s="10"/>
      <c r="GY462" s="10"/>
      <c r="GZ462" s="10"/>
      <c r="HA462" s="10"/>
      <c r="HB462" s="10"/>
      <c r="HC462" s="10"/>
      <c r="HD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/>
      <c r="GQ463" s="10"/>
      <c r="GR463" s="10"/>
      <c r="GS463" s="10"/>
      <c r="GT463" s="10"/>
      <c r="GU463" s="10"/>
      <c r="GV463" s="10"/>
      <c r="GW463" s="10"/>
      <c r="GX463" s="10"/>
      <c r="GY463" s="10"/>
      <c r="GZ463" s="10"/>
      <c r="HA463" s="10"/>
      <c r="HB463" s="10"/>
      <c r="HC463" s="10"/>
      <c r="HD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/>
      <c r="GQ464" s="10"/>
      <c r="GR464" s="10"/>
      <c r="GS464" s="10"/>
      <c r="GT464" s="10"/>
      <c r="GU464" s="10"/>
      <c r="GV464" s="10"/>
      <c r="GW464" s="10"/>
      <c r="GX464" s="10"/>
      <c r="GY464" s="10"/>
      <c r="GZ464" s="10"/>
      <c r="HA464" s="10"/>
      <c r="HB464" s="10"/>
      <c r="HC464" s="10"/>
      <c r="HD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/>
      <c r="GQ465" s="10"/>
      <c r="GR465" s="10"/>
      <c r="GS465" s="10"/>
      <c r="GT465" s="10"/>
      <c r="GU465" s="10"/>
      <c r="GV465" s="10"/>
      <c r="GW465" s="10"/>
      <c r="GX465" s="10"/>
      <c r="GY465" s="10"/>
      <c r="GZ465" s="10"/>
      <c r="HA465" s="10"/>
      <c r="HB465" s="10"/>
      <c r="HC465" s="10"/>
      <c r="HD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/>
      <c r="GQ466" s="10"/>
      <c r="GR466" s="10"/>
      <c r="GS466" s="10"/>
      <c r="GT466" s="10"/>
      <c r="GU466" s="10"/>
      <c r="GV466" s="10"/>
      <c r="GW466" s="10"/>
      <c r="GX466" s="10"/>
      <c r="GY466" s="10"/>
      <c r="GZ466" s="10"/>
      <c r="HA466" s="10"/>
      <c r="HB466" s="10"/>
      <c r="HC466" s="10"/>
      <c r="HD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/>
      <c r="GP468" s="10"/>
      <c r="GQ468" s="10"/>
      <c r="GR468" s="10"/>
      <c r="GS468" s="10"/>
      <c r="GT468" s="10"/>
      <c r="GU468" s="10"/>
      <c r="GV468" s="10"/>
      <c r="GW468" s="10"/>
      <c r="GX468" s="10"/>
      <c r="GY468" s="10"/>
      <c r="GZ468" s="10"/>
      <c r="HA468" s="10"/>
      <c r="HB468" s="10"/>
      <c r="HC468" s="10"/>
      <c r="HD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/>
      <c r="GO469" s="10"/>
      <c r="GP469" s="10"/>
      <c r="GQ469" s="10"/>
      <c r="GR469" s="10"/>
      <c r="GS469" s="10"/>
      <c r="GT469" s="10"/>
      <c r="GU469" s="10"/>
      <c r="GV469" s="10"/>
      <c r="GW469" s="10"/>
      <c r="GX469" s="10"/>
      <c r="GY469" s="10"/>
      <c r="GZ469" s="10"/>
      <c r="HA469" s="10"/>
      <c r="HB469" s="10"/>
      <c r="HC469" s="10"/>
      <c r="HD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/>
      <c r="GP470" s="10"/>
      <c r="GQ470" s="10"/>
      <c r="GR470" s="10"/>
      <c r="GS470" s="10"/>
      <c r="GT470" s="10"/>
      <c r="GU470" s="10"/>
      <c r="GV470" s="10"/>
      <c r="GW470" s="10"/>
      <c r="GX470" s="10"/>
      <c r="GY470" s="10"/>
      <c r="GZ470" s="10"/>
      <c r="HA470" s="10"/>
      <c r="HB470" s="10"/>
      <c r="HC470" s="10"/>
      <c r="HD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0"/>
      <c r="GZ471" s="10"/>
      <c r="HA471" s="10"/>
      <c r="HB471" s="10"/>
      <c r="HC471" s="10"/>
      <c r="HD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/>
      <c r="GQ472" s="10"/>
      <c r="GR472" s="10"/>
      <c r="GS472" s="10"/>
      <c r="GT472" s="10"/>
      <c r="GU472" s="10"/>
      <c r="GV472" s="10"/>
      <c r="GW472" s="10"/>
      <c r="GX472" s="10"/>
      <c r="GY472" s="10"/>
      <c r="GZ472" s="10"/>
      <c r="HA472" s="10"/>
      <c r="HB472" s="10"/>
      <c r="HC472" s="10"/>
      <c r="HD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0"/>
      <c r="GZ473" s="10"/>
      <c r="HA473" s="10"/>
      <c r="HB473" s="10"/>
      <c r="HC473" s="10"/>
      <c r="HD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/>
      <c r="GP474" s="10"/>
      <c r="GQ474" s="10"/>
      <c r="GR474" s="10"/>
      <c r="GS474" s="10"/>
      <c r="GT474" s="10"/>
      <c r="GU474" s="10"/>
      <c r="GV474" s="10"/>
      <c r="GW474" s="10"/>
      <c r="GX474" s="10"/>
      <c r="GY474" s="10"/>
      <c r="GZ474" s="10"/>
      <c r="HA474" s="10"/>
      <c r="HB474" s="10"/>
      <c r="HC474" s="10"/>
      <c r="HD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/>
      <c r="GP475" s="10"/>
      <c r="GQ475" s="10"/>
      <c r="GR475" s="10"/>
      <c r="GS475" s="10"/>
      <c r="GT475" s="10"/>
      <c r="GU475" s="10"/>
      <c r="GV475" s="10"/>
      <c r="GW475" s="10"/>
      <c r="GX475" s="10"/>
      <c r="GY475" s="10"/>
      <c r="GZ475" s="10"/>
      <c r="HA475" s="10"/>
      <c r="HB475" s="10"/>
      <c r="HC475" s="10"/>
      <c r="HD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  <c r="EL476" s="10"/>
      <c r="EM476" s="10"/>
      <c r="EN476" s="10"/>
      <c r="EO476" s="10"/>
      <c r="EP476" s="10"/>
      <c r="EQ476" s="10"/>
      <c r="ER476" s="10"/>
      <c r="ES476" s="10"/>
      <c r="ET476" s="10"/>
      <c r="EU476" s="10"/>
      <c r="EV476" s="10"/>
      <c r="EW476" s="10"/>
      <c r="EX476" s="10"/>
      <c r="EY476" s="10"/>
      <c r="EZ476" s="10"/>
      <c r="FA476" s="10"/>
      <c r="FB476" s="10"/>
      <c r="FC476" s="10"/>
      <c r="FD476" s="10"/>
      <c r="FE476" s="10"/>
      <c r="FF476" s="10"/>
      <c r="FG476" s="10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/>
      <c r="GO476" s="10"/>
      <c r="GP476" s="10"/>
      <c r="GQ476" s="10"/>
      <c r="GR476" s="10"/>
      <c r="GS476" s="10"/>
      <c r="GT476" s="10"/>
      <c r="GU476" s="10"/>
      <c r="GV476" s="10"/>
      <c r="GW476" s="10"/>
      <c r="GX476" s="10"/>
      <c r="GY476" s="10"/>
      <c r="GZ476" s="10"/>
      <c r="HA476" s="10"/>
      <c r="HB476" s="10"/>
      <c r="HC476" s="10"/>
      <c r="HD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/>
      <c r="GP477" s="10"/>
      <c r="GQ477" s="10"/>
      <c r="GR477" s="10"/>
      <c r="GS477" s="10"/>
      <c r="GT477" s="10"/>
      <c r="GU477" s="10"/>
      <c r="GV477" s="10"/>
      <c r="GW477" s="10"/>
      <c r="GX477" s="10"/>
      <c r="GY477" s="10"/>
      <c r="GZ477" s="10"/>
      <c r="HA477" s="10"/>
      <c r="HB477" s="10"/>
      <c r="HC477" s="10"/>
      <c r="HD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/>
      <c r="GP478" s="10"/>
      <c r="GQ478" s="10"/>
      <c r="GR478" s="10"/>
      <c r="GS478" s="10"/>
      <c r="GT478" s="10"/>
      <c r="GU478" s="10"/>
      <c r="GV478" s="10"/>
      <c r="GW478" s="10"/>
      <c r="GX478" s="10"/>
      <c r="GY478" s="10"/>
      <c r="GZ478" s="10"/>
      <c r="HA478" s="10"/>
      <c r="HB478" s="10"/>
      <c r="HC478" s="10"/>
      <c r="HD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  <c r="GS479" s="10"/>
      <c r="GT479" s="10"/>
      <c r="GU479" s="10"/>
      <c r="GV479" s="10"/>
      <c r="GW479" s="10"/>
      <c r="GX479" s="10"/>
      <c r="GY479" s="10"/>
      <c r="GZ479" s="10"/>
      <c r="HA479" s="10"/>
      <c r="HB479" s="10"/>
      <c r="HC479" s="10"/>
      <c r="HD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0"/>
      <c r="GZ480" s="10"/>
      <c r="HA480" s="10"/>
      <c r="HB480" s="10"/>
      <c r="HC480" s="10"/>
      <c r="HD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/>
      <c r="GQ481" s="10"/>
      <c r="GR481" s="10"/>
      <c r="GS481" s="10"/>
      <c r="GT481" s="10"/>
      <c r="GU481" s="10"/>
      <c r="GV481" s="10"/>
      <c r="GW481" s="10"/>
      <c r="GX481" s="10"/>
      <c r="GY481" s="10"/>
      <c r="GZ481" s="10"/>
      <c r="HA481" s="10"/>
      <c r="HB481" s="10"/>
      <c r="HC481" s="10"/>
      <c r="HD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  <c r="EL482" s="10"/>
      <c r="EM482" s="10"/>
      <c r="EN482" s="10"/>
      <c r="EO482" s="10"/>
      <c r="EP482" s="10"/>
      <c r="EQ482" s="10"/>
      <c r="ER482" s="10"/>
      <c r="ES482" s="10"/>
      <c r="ET482" s="10"/>
      <c r="EU482" s="10"/>
      <c r="EV482" s="10"/>
      <c r="EW482" s="10"/>
      <c r="EX482" s="10"/>
      <c r="EY482" s="10"/>
      <c r="EZ482" s="10"/>
      <c r="FA482" s="10"/>
      <c r="FB482" s="10"/>
      <c r="FC482" s="10"/>
      <c r="FD482" s="10"/>
      <c r="FE482" s="10"/>
      <c r="FF482" s="10"/>
      <c r="FG482" s="10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/>
      <c r="GP482" s="10"/>
      <c r="GQ482" s="10"/>
      <c r="GR482" s="10"/>
      <c r="GS482" s="10"/>
      <c r="GT482" s="10"/>
      <c r="GU482" s="10"/>
      <c r="GV482" s="10"/>
      <c r="GW482" s="10"/>
      <c r="GX482" s="10"/>
      <c r="GY482" s="10"/>
      <c r="GZ482" s="10"/>
      <c r="HA482" s="10"/>
      <c r="HB482" s="10"/>
      <c r="HC482" s="10"/>
      <c r="HD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/>
      <c r="GQ483" s="10"/>
      <c r="GR483" s="10"/>
      <c r="GS483" s="10"/>
      <c r="GT483" s="10"/>
      <c r="GU483" s="10"/>
      <c r="GV483" s="10"/>
      <c r="GW483" s="10"/>
      <c r="GX483" s="10"/>
      <c r="GY483" s="10"/>
      <c r="GZ483" s="10"/>
      <c r="HA483" s="10"/>
      <c r="HB483" s="10"/>
      <c r="HC483" s="10"/>
      <c r="HD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0"/>
      <c r="GZ484" s="10"/>
      <c r="HA484" s="10"/>
      <c r="HB484" s="10"/>
      <c r="HC484" s="10"/>
      <c r="HD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/>
      <c r="GP485" s="10"/>
      <c r="GQ485" s="10"/>
      <c r="GR485" s="10"/>
      <c r="GS485" s="10"/>
      <c r="GT485" s="10"/>
      <c r="GU485" s="10"/>
      <c r="GV485" s="10"/>
      <c r="GW485" s="10"/>
      <c r="GX485" s="10"/>
      <c r="GY485" s="10"/>
      <c r="GZ485" s="10"/>
      <c r="HA485" s="10"/>
      <c r="HB485" s="10"/>
      <c r="HC485" s="10"/>
      <c r="HD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0"/>
      <c r="GZ486" s="10"/>
      <c r="HA486" s="10"/>
      <c r="HB486" s="10"/>
      <c r="HC486" s="10"/>
      <c r="HD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/>
      <c r="GP487" s="10"/>
      <c r="GQ487" s="10"/>
      <c r="GR487" s="10"/>
      <c r="GS487" s="10"/>
      <c r="GT487" s="10"/>
      <c r="GU487" s="10"/>
      <c r="GV487" s="10"/>
      <c r="GW487" s="10"/>
      <c r="GX487" s="10"/>
      <c r="GY487" s="10"/>
      <c r="GZ487" s="10"/>
      <c r="HA487" s="10"/>
      <c r="HB487" s="10"/>
      <c r="HC487" s="10"/>
      <c r="HD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/>
      <c r="GP488" s="10"/>
      <c r="GQ488" s="10"/>
      <c r="GR488" s="10"/>
      <c r="GS488" s="10"/>
      <c r="GT488" s="10"/>
      <c r="GU488" s="10"/>
      <c r="GV488" s="10"/>
      <c r="GW488" s="10"/>
      <c r="GX488" s="10"/>
      <c r="GY488" s="10"/>
      <c r="GZ488" s="10"/>
      <c r="HA488" s="10"/>
      <c r="HB488" s="10"/>
      <c r="HC488" s="10"/>
      <c r="HD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/>
      <c r="GP489" s="10"/>
      <c r="GQ489" s="10"/>
      <c r="GR489" s="10"/>
      <c r="GS489" s="10"/>
      <c r="GT489" s="10"/>
      <c r="GU489" s="10"/>
      <c r="GV489" s="10"/>
      <c r="GW489" s="10"/>
      <c r="GX489" s="10"/>
      <c r="GY489" s="10"/>
      <c r="GZ489" s="10"/>
      <c r="HA489" s="10"/>
      <c r="HB489" s="10"/>
      <c r="HC489" s="10"/>
      <c r="HD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/>
      <c r="GP490" s="10"/>
      <c r="GQ490" s="10"/>
      <c r="GR490" s="10"/>
      <c r="GS490" s="10"/>
      <c r="GT490" s="10"/>
      <c r="GU490" s="10"/>
      <c r="GV490" s="10"/>
      <c r="GW490" s="10"/>
      <c r="GX490" s="10"/>
      <c r="GY490" s="10"/>
      <c r="GZ490" s="10"/>
      <c r="HA490" s="10"/>
      <c r="HB490" s="10"/>
      <c r="HC490" s="10"/>
      <c r="HD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/>
      <c r="GP491" s="10"/>
      <c r="GQ491" s="10"/>
      <c r="GR491" s="10"/>
      <c r="GS491" s="10"/>
      <c r="GT491" s="10"/>
      <c r="GU491" s="10"/>
      <c r="GV491" s="10"/>
      <c r="GW491" s="10"/>
      <c r="GX491" s="10"/>
      <c r="GY491" s="10"/>
      <c r="GZ491" s="10"/>
      <c r="HA491" s="10"/>
      <c r="HB491" s="10"/>
      <c r="HC491" s="10"/>
      <c r="HD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  <c r="EL492" s="10"/>
      <c r="EM492" s="10"/>
      <c r="EN492" s="10"/>
      <c r="EO492" s="10"/>
      <c r="EP492" s="10"/>
      <c r="EQ492" s="10"/>
      <c r="ER492" s="10"/>
      <c r="ES492" s="10"/>
      <c r="ET492" s="10"/>
      <c r="EU492" s="10"/>
      <c r="EV492" s="10"/>
      <c r="EW492" s="10"/>
      <c r="EX492" s="10"/>
      <c r="EY492" s="10"/>
      <c r="EZ492" s="10"/>
      <c r="FA492" s="10"/>
      <c r="FB492" s="10"/>
      <c r="FC492" s="10"/>
      <c r="FD492" s="10"/>
      <c r="FE492" s="10"/>
      <c r="FF492" s="10"/>
      <c r="FG492" s="10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/>
      <c r="GP492" s="10"/>
      <c r="GQ492" s="10"/>
      <c r="GR492" s="10"/>
      <c r="GS492" s="10"/>
      <c r="GT492" s="10"/>
      <c r="GU492" s="10"/>
      <c r="GV492" s="10"/>
      <c r="GW492" s="10"/>
      <c r="GX492" s="10"/>
      <c r="GY492" s="10"/>
      <c r="GZ492" s="10"/>
      <c r="HA492" s="10"/>
      <c r="HB492" s="10"/>
      <c r="HC492" s="10"/>
      <c r="HD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0"/>
      <c r="GZ493" s="10"/>
      <c r="HA493" s="10"/>
      <c r="HB493" s="10"/>
      <c r="HC493" s="10"/>
      <c r="HD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/>
      <c r="GP494" s="10"/>
      <c r="GQ494" s="10"/>
      <c r="GR494" s="10"/>
      <c r="GS494" s="10"/>
      <c r="GT494" s="10"/>
      <c r="GU494" s="10"/>
      <c r="GV494" s="10"/>
      <c r="GW494" s="10"/>
      <c r="GX494" s="10"/>
      <c r="GY494" s="10"/>
      <c r="GZ494" s="10"/>
      <c r="HA494" s="10"/>
      <c r="HB494" s="10"/>
      <c r="HC494" s="10"/>
      <c r="HD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0"/>
      <c r="GZ495" s="10"/>
      <c r="HA495" s="10"/>
      <c r="HB495" s="10"/>
      <c r="HC495" s="10"/>
      <c r="HD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/>
      <c r="GP496" s="10"/>
      <c r="GQ496" s="10"/>
      <c r="GR496" s="10"/>
      <c r="GS496" s="10"/>
      <c r="GT496" s="10"/>
      <c r="GU496" s="10"/>
      <c r="GV496" s="10"/>
      <c r="GW496" s="10"/>
      <c r="GX496" s="10"/>
      <c r="GY496" s="10"/>
      <c r="GZ496" s="10"/>
      <c r="HA496" s="10"/>
      <c r="HB496" s="10"/>
      <c r="HC496" s="10"/>
      <c r="HD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/>
      <c r="GP497" s="10"/>
      <c r="GQ497" s="10"/>
      <c r="GR497" s="10"/>
      <c r="GS497" s="10"/>
      <c r="GT497" s="10"/>
      <c r="GU497" s="10"/>
      <c r="GV497" s="10"/>
      <c r="GW497" s="10"/>
      <c r="GX497" s="10"/>
      <c r="GY497" s="10"/>
      <c r="GZ497" s="10"/>
      <c r="HA497" s="10"/>
      <c r="HB497" s="10"/>
      <c r="HC497" s="10"/>
      <c r="HD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/>
      <c r="GQ498" s="10"/>
      <c r="GR498" s="10"/>
      <c r="GS498" s="10"/>
      <c r="GT498" s="10"/>
      <c r="GU498" s="10"/>
      <c r="GV498" s="10"/>
      <c r="GW498" s="10"/>
      <c r="GX498" s="10"/>
      <c r="GY498" s="10"/>
      <c r="GZ498" s="10"/>
      <c r="HA498" s="10"/>
      <c r="HB498" s="10"/>
      <c r="HC498" s="10"/>
      <c r="HD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/>
      <c r="GQ499" s="10"/>
      <c r="GR499" s="10"/>
      <c r="GS499" s="10"/>
      <c r="GT499" s="10"/>
      <c r="GU499" s="10"/>
      <c r="GV499" s="10"/>
      <c r="GW499" s="10"/>
      <c r="GX499" s="10"/>
      <c r="GY499" s="10"/>
      <c r="GZ499" s="10"/>
      <c r="HA499" s="10"/>
      <c r="HB499" s="10"/>
      <c r="HC499" s="10"/>
      <c r="HD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/>
      <c r="GQ500" s="10"/>
      <c r="GR500" s="10"/>
      <c r="GS500" s="10"/>
      <c r="GT500" s="10"/>
      <c r="GU500" s="10"/>
      <c r="GV500" s="10"/>
      <c r="GW500" s="10"/>
      <c r="GX500" s="10"/>
      <c r="GY500" s="10"/>
      <c r="GZ500" s="10"/>
      <c r="HA500" s="10"/>
      <c r="HB500" s="10"/>
      <c r="HC500" s="10"/>
      <c r="HD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/>
      <c r="GQ501" s="10"/>
      <c r="GR501" s="10"/>
      <c r="GS501" s="10"/>
      <c r="GT501" s="10"/>
      <c r="GU501" s="10"/>
      <c r="GV501" s="10"/>
      <c r="GW501" s="10"/>
      <c r="GX501" s="10"/>
      <c r="GY501" s="10"/>
      <c r="GZ501" s="10"/>
      <c r="HA501" s="10"/>
      <c r="HB501" s="10"/>
      <c r="HC501" s="10"/>
      <c r="HD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/>
      <c r="GQ502" s="10"/>
      <c r="GR502" s="10"/>
      <c r="GS502" s="10"/>
      <c r="GT502" s="10"/>
      <c r="GU502" s="10"/>
      <c r="GV502" s="10"/>
      <c r="GW502" s="10"/>
      <c r="GX502" s="10"/>
      <c r="GY502" s="10"/>
      <c r="GZ502" s="10"/>
      <c r="HA502" s="10"/>
      <c r="HB502" s="10"/>
      <c r="HC502" s="10"/>
      <c r="HD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/>
      <c r="GQ503" s="10"/>
      <c r="GR503" s="10"/>
      <c r="GS503" s="10"/>
      <c r="GT503" s="10"/>
      <c r="GU503" s="10"/>
      <c r="GV503" s="10"/>
      <c r="GW503" s="10"/>
      <c r="GX503" s="10"/>
      <c r="GY503" s="10"/>
      <c r="GZ503" s="10"/>
      <c r="HA503" s="10"/>
      <c r="HB503" s="10"/>
      <c r="HC503" s="10"/>
      <c r="HD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/>
      <c r="GQ504" s="10"/>
      <c r="GR504" s="10"/>
      <c r="GS504" s="10"/>
      <c r="GT504" s="10"/>
      <c r="GU504" s="10"/>
      <c r="GV504" s="10"/>
      <c r="GW504" s="10"/>
      <c r="GX504" s="10"/>
      <c r="GY504" s="10"/>
      <c r="GZ504" s="10"/>
      <c r="HA504" s="10"/>
      <c r="HB504" s="10"/>
      <c r="HC504" s="10"/>
      <c r="HD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/>
      <c r="GQ505" s="10"/>
      <c r="GR505" s="10"/>
      <c r="GS505" s="10"/>
      <c r="GT505" s="10"/>
      <c r="GU505" s="10"/>
      <c r="GV505" s="10"/>
      <c r="GW505" s="10"/>
      <c r="GX505" s="10"/>
      <c r="GY505" s="10"/>
      <c r="GZ505" s="10"/>
      <c r="HA505" s="10"/>
      <c r="HB505" s="10"/>
      <c r="HC505" s="10"/>
      <c r="HD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/>
      <c r="GQ506" s="10"/>
      <c r="GR506" s="10"/>
      <c r="GS506" s="10"/>
      <c r="GT506" s="10"/>
      <c r="GU506" s="10"/>
      <c r="GV506" s="10"/>
      <c r="GW506" s="10"/>
      <c r="GX506" s="10"/>
      <c r="GY506" s="10"/>
      <c r="GZ506" s="10"/>
      <c r="HA506" s="10"/>
      <c r="HB506" s="10"/>
      <c r="HC506" s="10"/>
      <c r="HD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0"/>
      <c r="GZ507" s="10"/>
      <c r="HA507" s="10"/>
      <c r="HB507" s="10"/>
      <c r="HC507" s="10"/>
      <c r="HD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/>
      <c r="GQ508" s="10"/>
      <c r="GR508" s="10"/>
      <c r="GS508" s="10"/>
      <c r="GT508" s="10"/>
      <c r="GU508" s="10"/>
      <c r="GV508" s="10"/>
      <c r="GW508" s="10"/>
      <c r="GX508" s="10"/>
      <c r="GY508" s="10"/>
      <c r="GZ508" s="10"/>
      <c r="HA508" s="10"/>
      <c r="HB508" s="10"/>
      <c r="HC508" s="10"/>
      <c r="HD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0"/>
      <c r="GZ509" s="10"/>
      <c r="HA509" s="10"/>
      <c r="HB509" s="10"/>
      <c r="HC509" s="10"/>
      <c r="HD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/>
      <c r="GQ510" s="10"/>
      <c r="GR510" s="10"/>
      <c r="GS510" s="10"/>
      <c r="GT510" s="10"/>
      <c r="GU510" s="10"/>
      <c r="GV510" s="10"/>
      <c r="GW510" s="10"/>
      <c r="GX510" s="10"/>
      <c r="GY510" s="10"/>
      <c r="GZ510" s="10"/>
      <c r="HA510" s="10"/>
      <c r="HB510" s="10"/>
      <c r="HC510" s="10"/>
      <c r="HD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/>
      <c r="GQ511" s="10"/>
      <c r="GR511" s="10"/>
      <c r="GS511" s="10"/>
      <c r="GT511" s="10"/>
      <c r="GU511" s="10"/>
      <c r="GV511" s="10"/>
      <c r="GW511" s="10"/>
      <c r="GX511" s="10"/>
      <c r="GY511" s="10"/>
      <c r="GZ511" s="10"/>
      <c r="HA511" s="10"/>
      <c r="HB511" s="10"/>
      <c r="HC511" s="10"/>
      <c r="HD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0"/>
      <c r="GZ512" s="10"/>
      <c r="HA512" s="10"/>
      <c r="HB512" s="10"/>
      <c r="HC512" s="10"/>
      <c r="HD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/>
      <c r="GQ513" s="10"/>
      <c r="GR513" s="10"/>
      <c r="GS513" s="10"/>
      <c r="GT513" s="10"/>
      <c r="GU513" s="10"/>
      <c r="GV513" s="10"/>
      <c r="GW513" s="10"/>
      <c r="GX513" s="10"/>
      <c r="GY513" s="10"/>
      <c r="GZ513" s="10"/>
      <c r="HA513" s="10"/>
      <c r="HB513" s="10"/>
      <c r="HC513" s="10"/>
      <c r="HD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/>
      <c r="GH514" s="10"/>
      <c r="GI514" s="10"/>
      <c r="GJ514" s="10"/>
      <c r="GK514" s="10"/>
      <c r="GL514" s="10"/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0"/>
      <c r="GZ514" s="10"/>
      <c r="HA514" s="10"/>
      <c r="HB514" s="10"/>
      <c r="HC514" s="10"/>
      <c r="HD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/>
      <c r="GQ515" s="10"/>
      <c r="GR515" s="10"/>
      <c r="GS515" s="10"/>
      <c r="GT515" s="10"/>
      <c r="GU515" s="10"/>
      <c r="GV515" s="10"/>
      <c r="GW515" s="10"/>
      <c r="GX515" s="10"/>
      <c r="GY515" s="10"/>
      <c r="GZ515" s="10"/>
      <c r="HA515" s="10"/>
      <c r="HB515" s="10"/>
      <c r="HC515" s="10"/>
      <c r="HD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/>
      <c r="EZ516" s="10"/>
      <c r="FA516" s="10"/>
      <c r="FB516" s="10"/>
      <c r="FC516" s="10"/>
      <c r="FD516" s="10"/>
      <c r="FE516" s="10"/>
      <c r="FF516" s="10"/>
      <c r="FG516" s="10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/>
      <c r="GQ516" s="10"/>
      <c r="GR516" s="10"/>
      <c r="GS516" s="10"/>
      <c r="GT516" s="10"/>
      <c r="GU516" s="10"/>
      <c r="GV516" s="10"/>
      <c r="GW516" s="10"/>
      <c r="GX516" s="10"/>
      <c r="GY516" s="10"/>
      <c r="GZ516" s="10"/>
      <c r="HA516" s="10"/>
      <c r="HB516" s="10"/>
      <c r="HC516" s="10"/>
      <c r="HD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/>
      <c r="GQ517" s="10"/>
      <c r="GR517" s="10"/>
      <c r="GS517" s="10"/>
      <c r="GT517" s="10"/>
      <c r="GU517" s="10"/>
      <c r="GV517" s="10"/>
      <c r="GW517" s="10"/>
      <c r="GX517" s="10"/>
      <c r="GY517" s="10"/>
      <c r="GZ517" s="10"/>
      <c r="HA517" s="10"/>
      <c r="HB517" s="10"/>
      <c r="HC517" s="10"/>
      <c r="HD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/>
      <c r="GQ518" s="10"/>
      <c r="GR518" s="10"/>
      <c r="GS518" s="10"/>
      <c r="GT518" s="10"/>
      <c r="GU518" s="10"/>
      <c r="GV518" s="10"/>
      <c r="GW518" s="10"/>
      <c r="GX518" s="10"/>
      <c r="GY518" s="10"/>
      <c r="GZ518" s="10"/>
      <c r="HA518" s="10"/>
      <c r="HB518" s="10"/>
      <c r="HC518" s="10"/>
      <c r="HD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/>
      <c r="GQ519" s="10"/>
      <c r="GR519" s="10"/>
      <c r="GS519" s="10"/>
      <c r="GT519" s="10"/>
      <c r="GU519" s="10"/>
      <c r="GV519" s="10"/>
      <c r="GW519" s="10"/>
      <c r="GX519" s="10"/>
      <c r="GY519" s="10"/>
      <c r="GZ519" s="10"/>
      <c r="HA519" s="10"/>
      <c r="HB519" s="10"/>
      <c r="HC519" s="10"/>
      <c r="HD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/>
      <c r="GQ520" s="10"/>
      <c r="GR520" s="10"/>
      <c r="GS520" s="10"/>
      <c r="GT520" s="10"/>
      <c r="GU520" s="10"/>
      <c r="GV520" s="10"/>
      <c r="GW520" s="10"/>
      <c r="GX520" s="10"/>
      <c r="GY520" s="10"/>
      <c r="GZ520" s="10"/>
      <c r="HA520" s="10"/>
      <c r="HB520" s="10"/>
      <c r="HC520" s="10"/>
      <c r="HD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/>
      <c r="GQ521" s="10"/>
      <c r="GR521" s="10"/>
      <c r="GS521" s="10"/>
      <c r="GT521" s="10"/>
      <c r="GU521" s="10"/>
      <c r="GV521" s="10"/>
      <c r="GW521" s="10"/>
      <c r="GX521" s="10"/>
      <c r="GY521" s="10"/>
      <c r="GZ521" s="10"/>
      <c r="HA521" s="10"/>
      <c r="HB521" s="10"/>
      <c r="HC521" s="10"/>
      <c r="HD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/>
      <c r="GQ522" s="10"/>
      <c r="GR522" s="10"/>
      <c r="GS522" s="10"/>
      <c r="GT522" s="10"/>
      <c r="GU522" s="10"/>
      <c r="GV522" s="10"/>
      <c r="GW522" s="10"/>
      <c r="GX522" s="10"/>
      <c r="GY522" s="10"/>
      <c r="GZ522" s="10"/>
      <c r="HA522" s="10"/>
      <c r="HB522" s="10"/>
      <c r="HC522" s="10"/>
      <c r="HD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/>
      <c r="GQ523" s="10"/>
      <c r="GR523" s="10"/>
      <c r="GS523" s="10"/>
      <c r="GT523" s="10"/>
      <c r="GU523" s="10"/>
      <c r="GV523" s="10"/>
      <c r="GW523" s="10"/>
      <c r="GX523" s="10"/>
      <c r="GY523" s="10"/>
      <c r="GZ523" s="10"/>
      <c r="HA523" s="10"/>
      <c r="HB523" s="10"/>
      <c r="HC523" s="10"/>
      <c r="HD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/>
      <c r="GQ524" s="10"/>
      <c r="GR524" s="10"/>
      <c r="GS524" s="10"/>
      <c r="GT524" s="10"/>
      <c r="GU524" s="10"/>
      <c r="GV524" s="10"/>
      <c r="GW524" s="10"/>
      <c r="GX524" s="10"/>
      <c r="GY524" s="10"/>
      <c r="GZ524" s="10"/>
      <c r="HA524" s="10"/>
      <c r="HB524" s="10"/>
      <c r="HC524" s="10"/>
      <c r="HD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/>
      <c r="GQ525" s="10"/>
      <c r="GR525" s="10"/>
      <c r="GS525" s="10"/>
      <c r="GT525" s="10"/>
      <c r="GU525" s="10"/>
      <c r="GV525" s="10"/>
      <c r="GW525" s="10"/>
      <c r="GX525" s="10"/>
      <c r="GY525" s="10"/>
      <c r="GZ525" s="10"/>
      <c r="HA525" s="10"/>
      <c r="HB525" s="10"/>
      <c r="HC525" s="10"/>
      <c r="HD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/>
      <c r="GQ526" s="10"/>
      <c r="GR526" s="10"/>
      <c r="GS526" s="10"/>
      <c r="GT526" s="10"/>
      <c r="GU526" s="10"/>
      <c r="GV526" s="10"/>
      <c r="GW526" s="10"/>
      <c r="GX526" s="10"/>
      <c r="GY526" s="10"/>
      <c r="GZ526" s="10"/>
      <c r="HA526" s="10"/>
      <c r="HB526" s="10"/>
      <c r="HC526" s="10"/>
      <c r="HD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/>
      <c r="GQ527" s="10"/>
      <c r="GR527" s="10"/>
      <c r="GS527" s="10"/>
      <c r="GT527" s="10"/>
      <c r="GU527" s="10"/>
      <c r="GV527" s="10"/>
      <c r="GW527" s="10"/>
      <c r="GX527" s="10"/>
      <c r="GY527" s="10"/>
      <c r="GZ527" s="10"/>
      <c r="HA527" s="10"/>
      <c r="HB527" s="10"/>
      <c r="HC527" s="10"/>
      <c r="HD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/>
      <c r="GQ528" s="10"/>
      <c r="GR528" s="10"/>
      <c r="GS528" s="10"/>
      <c r="GT528" s="10"/>
      <c r="GU528" s="10"/>
      <c r="GV528" s="10"/>
      <c r="GW528" s="10"/>
      <c r="GX528" s="10"/>
      <c r="GY528" s="10"/>
      <c r="GZ528" s="10"/>
      <c r="HA528" s="10"/>
      <c r="HB528" s="10"/>
      <c r="HC528" s="10"/>
      <c r="HD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/>
      <c r="GQ529" s="10"/>
      <c r="GR529" s="10"/>
      <c r="GS529" s="10"/>
      <c r="GT529" s="10"/>
      <c r="GU529" s="10"/>
      <c r="GV529" s="10"/>
      <c r="GW529" s="10"/>
      <c r="GX529" s="10"/>
      <c r="GY529" s="10"/>
      <c r="GZ529" s="10"/>
      <c r="HA529" s="10"/>
      <c r="HB529" s="10"/>
      <c r="HC529" s="10"/>
      <c r="HD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/>
      <c r="GQ530" s="10"/>
      <c r="GR530" s="10"/>
      <c r="GS530" s="10"/>
      <c r="GT530" s="10"/>
      <c r="GU530" s="10"/>
      <c r="GV530" s="10"/>
      <c r="GW530" s="10"/>
      <c r="GX530" s="10"/>
      <c r="GY530" s="10"/>
      <c r="GZ530" s="10"/>
      <c r="HA530" s="10"/>
      <c r="HB530" s="10"/>
      <c r="HC530" s="10"/>
      <c r="HD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/>
      <c r="GQ531" s="10"/>
      <c r="GR531" s="10"/>
      <c r="GS531" s="10"/>
      <c r="GT531" s="10"/>
      <c r="GU531" s="10"/>
      <c r="GV531" s="10"/>
      <c r="GW531" s="10"/>
      <c r="GX531" s="10"/>
      <c r="GY531" s="10"/>
      <c r="GZ531" s="10"/>
      <c r="HA531" s="10"/>
      <c r="HB531" s="10"/>
      <c r="HC531" s="10"/>
      <c r="HD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/>
      <c r="EY532" s="10"/>
      <c r="EZ532" s="10"/>
      <c r="FA532" s="10"/>
      <c r="FB532" s="10"/>
      <c r="FC532" s="10"/>
      <c r="FD532" s="10"/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/>
      <c r="GQ532" s="10"/>
      <c r="GR532" s="10"/>
      <c r="GS532" s="10"/>
      <c r="GT532" s="10"/>
      <c r="GU532" s="10"/>
      <c r="GV532" s="10"/>
      <c r="GW532" s="10"/>
      <c r="GX532" s="10"/>
      <c r="GY532" s="10"/>
      <c r="GZ532" s="10"/>
      <c r="HA532" s="10"/>
      <c r="HB532" s="10"/>
      <c r="HC532" s="10"/>
      <c r="HD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/>
      <c r="GQ533" s="10"/>
      <c r="GR533" s="10"/>
      <c r="GS533" s="10"/>
      <c r="GT533" s="10"/>
      <c r="GU533" s="10"/>
      <c r="GV533" s="10"/>
      <c r="GW533" s="10"/>
      <c r="GX533" s="10"/>
      <c r="GY533" s="10"/>
      <c r="GZ533" s="10"/>
      <c r="HA533" s="10"/>
      <c r="HB533" s="10"/>
      <c r="HC533" s="10"/>
      <c r="HD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  <c r="GS534" s="10"/>
      <c r="GT534" s="10"/>
      <c r="GU534" s="10"/>
      <c r="GV534" s="10"/>
      <c r="GW534" s="10"/>
      <c r="GX534" s="10"/>
      <c r="GY534" s="10"/>
      <c r="GZ534" s="10"/>
      <c r="HA534" s="10"/>
      <c r="HB534" s="10"/>
      <c r="HC534" s="10"/>
      <c r="HD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/>
      <c r="GQ535" s="10"/>
      <c r="GR535" s="10"/>
      <c r="GS535" s="10"/>
      <c r="GT535" s="10"/>
      <c r="GU535" s="10"/>
      <c r="GV535" s="10"/>
      <c r="GW535" s="10"/>
      <c r="GX535" s="10"/>
      <c r="GY535" s="10"/>
      <c r="GZ535" s="10"/>
      <c r="HA535" s="10"/>
      <c r="HB535" s="10"/>
      <c r="HC535" s="10"/>
      <c r="HD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/>
      <c r="GQ536" s="10"/>
      <c r="GR536" s="10"/>
      <c r="GS536" s="10"/>
      <c r="GT536" s="10"/>
      <c r="GU536" s="10"/>
      <c r="GV536" s="10"/>
      <c r="GW536" s="10"/>
      <c r="GX536" s="10"/>
      <c r="GY536" s="10"/>
      <c r="GZ536" s="10"/>
      <c r="HA536" s="10"/>
      <c r="HB536" s="10"/>
      <c r="HC536" s="10"/>
      <c r="HD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  <c r="EL537" s="10"/>
      <c r="EM537" s="10"/>
      <c r="EN537" s="10"/>
      <c r="EO537" s="10"/>
      <c r="EP537" s="10"/>
      <c r="EQ537" s="10"/>
      <c r="ER537" s="10"/>
      <c r="ES537" s="10"/>
      <c r="ET537" s="10"/>
      <c r="EU537" s="10"/>
      <c r="EV537" s="10"/>
      <c r="EW537" s="10"/>
      <c r="EX537" s="10"/>
      <c r="EY537" s="10"/>
      <c r="EZ537" s="10"/>
      <c r="FA537" s="10"/>
      <c r="FB537" s="10"/>
      <c r="FC537" s="10"/>
      <c r="FD537" s="10"/>
      <c r="FE537" s="10"/>
      <c r="FF537" s="10"/>
      <c r="FG537" s="10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/>
      <c r="GH537" s="10"/>
      <c r="GI537" s="10"/>
      <c r="GJ537" s="10"/>
      <c r="GK537" s="10"/>
      <c r="GL537" s="10"/>
      <c r="GM537" s="10"/>
      <c r="GN537" s="10"/>
      <c r="GO537" s="10"/>
      <c r="GP537" s="10"/>
      <c r="GQ537" s="10"/>
      <c r="GR537" s="10"/>
      <c r="GS537" s="10"/>
      <c r="GT537" s="10"/>
      <c r="GU537" s="10"/>
      <c r="GV537" s="10"/>
      <c r="GW537" s="10"/>
      <c r="GX537" s="10"/>
      <c r="GY537" s="10"/>
      <c r="GZ537" s="10"/>
      <c r="HA537" s="10"/>
      <c r="HB537" s="10"/>
      <c r="HC537" s="10"/>
      <c r="HD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0"/>
      <c r="GZ538" s="10"/>
      <c r="HA538" s="10"/>
      <c r="HB538" s="10"/>
      <c r="HC538" s="10"/>
      <c r="HD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/>
      <c r="GQ539" s="10"/>
      <c r="GR539" s="10"/>
      <c r="GS539" s="10"/>
      <c r="GT539" s="10"/>
      <c r="GU539" s="10"/>
      <c r="GV539" s="10"/>
      <c r="GW539" s="10"/>
      <c r="GX539" s="10"/>
      <c r="GY539" s="10"/>
      <c r="GZ539" s="10"/>
      <c r="HA539" s="10"/>
      <c r="HB539" s="10"/>
      <c r="HC539" s="10"/>
      <c r="HD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/>
      <c r="GQ540" s="10"/>
      <c r="GR540" s="10"/>
      <c r="GS540" s="10"/>
      <c r="GT540" s="10"/>
      <c r="GU540" s="10"/>
      <c r="GV540" s="10"/>
      <c r="GW540" s="10"/>
      <c r="GX540" s="10"/>
      <c r="GY540" s="10"/>
      <c r="GZ540" s="10"/>
      <c r="HA540" s="10"/>
      <c r="HB540" s="10"/>
      <c r="HC540" s="10"/>
      <c r="HD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/>
      <c r="GQ541" s="10"/>
      <c r="GR541" s="10"/>
      <c r="GS541" s="10"/>
      <c r="GT541" s="10"/>
      <c r="GU541" s="10"/>
      <c r="GV541" s="10"/>
      <c r="GW541" s="10"/>
      <c r="GX541" s="10"/>
      <c r="GY541" s="10"/>
      <c r="GZ541" s="10"/>
      <c r="HA541" s="10"/>
      <c r="HB541" s="10"/>
      <c r="HC541" s="10"/>
      <c r="HD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/>
      <c r="GQ542" s="10"/>
      <c r="GR542" s="10"/>
      <c r="GS542" s="10"/>
      <c r="GT542" s="10"/>
      <c r="GU542" s="10"/>
      <c r="GV542" s="10"/>
      <c r="GW542" s="10"/>
      <c r="GX542" s="10"/>
      <c r="GY542" s="10"/>
      <c r="GZ542" s="10"/>
      <c r="HA542" s="10"/>
      <c r="HB542" s="10"/>
      <c r="HC542" s="10"/>
      <c r="HD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/>
      <c r="GQ543" s="10"/>
      <c r="GR543" s="10"/>
      <c r="GS543" s="10"/>
      <c r="GT543" s="10"/>
      <c r="GU543" s="10"/>
      <c r="GV543" s="10"/>
      <c r="GW543" s="10"/>
      <c r="GX543" s="10"/>
      <c r="GY543" s="10"/>
      <c r="GZ543" s="10"/>
      <c r="HA543" s="10"/>
      <c r="HB543" s="10"/>
      <c r="HC543" s="10"/>
      <c r="HD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/>
      <c r="GQ544" s="10"/>
      <c r="GR544" s="10"/>
      <c r="GS544" s="10"/>
      <c r="GT544" s="10"/>
      <c r="GU544" s="10"/>
      <c r="GV544" s="10"/>
      <c r="GW544" s="10"/>
      <c r="GX544" s="10"/>
      <c r="GY544" s="10"/>
      <c r="GZ544" s="10"/>
      <c r="HA544" s="10"/>
      <c r="HB544" s="10"/>
      <c r="HC544" s="10"/>
      <c r="HD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/>
      <c r="GQ545" s="10"/>
      <c r="GR545" s="10"/>
      <c r="GS545" s="10"/>
      <c r="GT545" s="10"/>
      <c r="GU545" s="10"/>
      <c r="GV545" s="10"/>
      <c r="GW545" s="10"/>
      <c r="GX545" s="10"/>
      <c r="GY545" s="10"/>
      <c r="GZ545" s="10"/>
      <c r="HA545" s="10"/>
      <c r="HB545" s="10"/>
      <c r="HC545" s="10"/>
      <c r="HD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/>
      <c r="GQ546" s="10"/>
      <c r="GR546" s="10"/>
      <c r="GS546" s="10"/>
      <c r="GT546" s="10"/>
      <c r="GU546" s="10"/>
      <c r="GV546" s="10"/>
      <c r="GW546" s="10"/>
      <c r="GX546" s="10"/>
      <c r="GY546" s="10"/>
      <c r="GZ546" s="10"/>
      <c r="HA546" s="10"/>
      <c r="HB546" s="10"/>
      <c r="HC546" s="10"/>
      <c r="HD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/>
      <c r="GQ547" s="10"/>
      <c r="GR547" s="10"/>
      <c r="GS547" s="10"/>
      <c r="GT547" s="10"/>
      <c r="GU547" s="10"/>
      <c r="GV547" s="10"/>
      <c r="GW547" s="10"/>
      <c r="GX547" s="10"/>
      <c r="GY547" s="10"/>
      <c r="GZ547" s="10"/>
      <c r="HA547" s="10"/>
      <c r="HB547" s="10"/>
      <c r="HC547" s="10"/>
      <c r="HD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/>
      <c r="GH548" s="10"/>
      <c r="GI548" s="10"/>
      <c r="GJ548" s="10"/>
      <c r="GK548" s="10"/>
      <c r="GL548" s="10"/>
      <c r="GM548" s="10"/>
      <c r="GN548" s="10"/>
      <c r="GO548" s="10"/>
      <c r="GP548" s="10"/>
      <c r="GQ548" s="10"/>
      <c r="GR548" s="10"/>
      <c r="GS548" s="10"/>
      <c r="GT548" s="10"/>
      <c r="GU548" s="10"/>
      <c r="GV548" s="10"/>
      <c r="GW548" s="10"/>
      <c r="GX548" s="10"/>
      <c r="GY548" s="10"/>
      <c r="GZ548" s="10"/>
      <c r="HA548" s="10"/>
      <c r="HB548" s="10"/>
      <c r="HC548" s="10"/>
      <c r="HD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0"/>
      <c r="GZ549" s="10"/>
      <c r="HA549" s="10"/>
      <c r="HB549" s="10"/>
      <c r="HC549" s="10"/>
      <c r="HD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/>
      <c r="GQ550" s="10"/>
      <c r="GR550" s="10"/>
      <c r="GS550" s="10"/>
      <c r="GT550" s="10"/>
      <c r="GU550" s="10"/>
      <c r="GV550" s="10"/>
      <c r="GW550" s="10"/>
      <c r="GX550" s="10"/>
      <c r="GY550" s="10"/>
      <c r="GZ550" s="10"/>
      <c r="HA550" s="10"/>
      <c r="HB550" s="10"/>
      <c r="HC550" s="10"/>
      <c r="HD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/>
      <c r="GH551" s="10"/>
      <c r="GI551" s="10"/>
      <c r="GJ551" s="10"/>
      <c r="GK551" s="10"/>
      <c r="GL551" s="10"/>
      <c r="GM551" s="10"/>
      <c r="GN551" s="10"/>
      <c r="GO551" s="10"/>
      <c r="GP551" s="10"/>
      <c r="GQ551" s="10"/>
      <c r="GR551" s="10"/>
      <c r="GS551" s="10"/>
      <c r="GT551" s="10"/>
      <c r="GU551" s="10"/>
      <c r="GV551" s="10"/>
      <c r="GW551" s="10"/>
      <c r="GX551" s="10"/>
      <c r="GY551" s="10"/>
      <c r="GZ551" s="10"/>
      <c r="HA551" s="10"/>
      <c r="HB551" s="10"/>
      <c r="HC551" s="10"/>
      <c r="HD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/>
      <c r="GQ552" s="10"/>
      <c r="GR552" s="10"/>
      <c r="GS552" s="10"/>
      <c r="GT552" s="10"/>
      <c r="GU552" s="10"/>
      <c r="GV552" s="10"/>
      <c r="GW552" s="10"/>
      <c r="GX552" s="10"/>
      <c r="GY552" s="10"/>
      <c r="GZ552" s="10"/>
      <c r="HA552" s="10"/>
      <c r="HB552" s="10"/>
      <c r="HC552" s="10"/>
      <c r="HD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/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/>
      <c r="GQ553" s="10"/>
      <c r="GR553" s="10"/>
      <c r="GS553" s="10"/>
      <c r="GT553" s="10"/>
      <c r="GU553" s="10"/>
      <c r="GV553" s="10"/>
      <c r="GW553" s="10"/>
      <c r="GX553" s="10"/>
      <c r="GY553" s="10"/>
      <c r="GZ553" s="10"/>
      <c r="HA553" s="10"/>
      <c r="HB553" s="10"/>
      <c r="HC553" s="10"/>
      <c r="HD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/>
      <c r="GQ554" s="10"/>
      <c r="GR554" s="10"/>
      <c r="GS554" s="10"/>
      <c r="GT554" s="10"/>
      <c r="GU554" s="10"/>
      <c r="GV554" s="10"/>
      <c r="GW554" s="10"/>
      <c r="GX554" s="10"/>
      <c r="GY554" s="10"/>
      <c r="GZ554" s="10"/>
      <c r="HA554" s="10"/>
      <c r="HB554" s="10"/>
      <c r="HC554" s="10"/>
      <c r="HD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/>
      <c r="GQ555" s="10"/>
      <c r="GR555" s="10"/>
      <c r="GS555" s="10"/>
      <c r="GT555" s="10"/>
      <c r="GU555" s="10"/>
      <c r="GV555" s="10"/>
      <c r="GW555" s="10"/>
      <c r="GX555" s="10"/>
      <c r="GY555" s="10"/>
      <c r="GZ555" s="10"/>
      <c r="HA555" s="10"/>
      <c r="HB555" s="10"/>
      <c r="HC555" s="10"/>
      <c r="HD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/>
      <c r="GQ556" s="10"/>
      <c r="GR556" s="10"/>
      <c r="GS556" s="10"/>
      <c r="GT556" s="10"/>
      <c r="GU556" s="10"/>
      <c r="GV556" s="10"/>
      <c r="GW556" s="10"/>
      <c r="GX556" s="10"/>
      <c r="GY556" s="10"/>
      <c r="GZ556" s="10"/>
      <c r="HA556" s="10"/>
      <c r="HB556" s="10"/>
      <c r="HC556" s="10"/>
      <c r="HD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/>
      <c r="GQ557" s="10"/>
      <c r="GR557" s="10"/>
      <c r="GS557" s="10"/>
      <c r="GT557" s="10"/>
      <c r="GU557" s="10"/>
      <c r="GV557" s="10"/>
      <c r="GW557" s="10"/>
      <c r="GX557" s="10"/>
      <c r="GY557" s="10"/>
      <c r="GZ557" s="10"/>
      <c r="HA557" s="10"/>
      <c r="HB557" s="10"/>
      <c r="HC557" s="10"/>
      <c r="HD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0"/>
      <c r="GZ558" s="10"/>
      <c r="HA558" s="10"/>
      <c r="HB558" s="10"/>
      <c r="HC558" s="10"/>
      <c r="HD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/>
      <c r="GQ559" s="10"/>
      <c r="GR559" s="10"/>
      <c r="GS559" s="10"/>
      <c r="GT559" s="10"/>
      <c r="GU559" s="10"/>
      <c r="GV559" s="10"/>
      <c r="GW559" s="10"/>
      <c r="GX559" s="10"/>
      <c r="GY559" s="10"/>
      <c r="GZ559" s="10"/>
      <c r="HA559" s="10"/>
      <c r="HB559" s="10"/>
      <c r="HC559" s="10"/>
      <c r="HD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/>
      <c r="GQ560" s="10"/>
      <c r="GR560" s="10"/>
      <c r="GS560" s="10"/>
      <c r="GT560" s="10"/>
      <c r="GU560" s="10"/>
      <c r="GV560" s="10"/>
      <c r="GW560" s="10"/>
      <c r="GX560" s="10"/>
      <c r="GY560" s="10"/>
      <c r="GZ560" s="10"/>
      <c r="HA560" s="10"/>
      <c r="HB560" s="10"/>
      <c r="HC560" s="10"/>
      <c r="HD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/>
      <c r="GQ561" s="10"/>
      <c r="GR561" s="10"/>
      <c r="GS561" s="10"/>
      <c r="GT561" s="10"/>
      <c r="GU561" s="10"/>
      <c r="GV561" s="10"/>
      <c r="GW561" s="10"/>
      <c r="GX561" s="10"/>
      <c r="GY561" s="10"/>
      <c r="GZ561" s="10"/>
      <c r="HA561" s="10"/>
      <c r="HB561" s="10"/>
      <c r="HC561" s="10"/>
      <c r="HD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/>
      <c r="GQ562" s="10"/>
      <c r="GR562" s="10"/>
      <c r="GS562" s="10"/>
      <c r="GT562" s="10"/>
      <c r="GU562" s="10"/>
      <c r="GV562" s="10"/>
      <c r="GW562" s="10"/>
      <c r="GX562" s="10"/>
      <c r="GY562" s="10"/>
      <c r="GZ562" s="10"/>
      <c r="HA562" s="10"/>
      <c r="HB562" s="10"/>
      <c r="HC562" s="10"/>
      <c r="HD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/>
      <c r="FF563" s="10"/>
      <c r="FG563" s="10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/>
      <c r="GQ563" s="10"/>
      <c r="GR563" s="10"/>
      <c r="GS563" s="10"/>
      <c r="GT563" s="10"/>
      <c r="GU563" s="10"/>
      <c r="GV563" s="10"/>
      <c r="GW563" s="10"/>
      <c r="GX563" s="10"/>
      <c r="GY563" s="10"/>
      <c r="GZ563" s="10"/>
      <c r="HA563" s="10"/>
      <c r="HB563" s="10"/>
      <c r="HC563" s="10"/>
      <c r="HD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0"/>
      <c r="GZ564" s="10"/>
      <c r="HA564" s="10"/>
      <c r="HB564" s="10"/>
      <c r="HC564" s="10"/>
      <c r="HD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0"/>
      <c r="GZ565" s="10"/>
      <c r="HA565" s="10"/>
      <c r="HB565" s="10"/>
      <c r="HC565" s="10"/>
      <c r="HD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/>
      <c r="GQ566" s="10"/>
      <c r="GR566" s="10"/>
      <c r="GS566" s="10"/>
      <c r="GT566" s="10"/>
      <c r="GU566" s="10"/>
      <c r="GV566" s="10"/>
      <c r="GW566" s="10"/>
      <c r="GX566" s="10"/>
      <c r="GY566" s="10"/>
      <c r="GZ566" s="10"/>
      <c r="HA566" s="10"/>
      <c r="HB566" s="10"/>
      <c r="HC566" s="10"/>
      <c r="HD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/>
      <c r="GQ567" s="10"/>
      <c r="GR567" s="10"/>
      <c r="GS567" s="10"/>
      <c r="GT567" s="10"/>
      <c r="GU567" s="10"/>
      <c r="GV567" s="10"/>
      <c r="GW567" s="10"/>
      <c r="GX567" s="10"/>
      <c r="GY567" s="10"/>
      <c r="GZ567" s="10"/>
      <c r="HA567" s="10"/>
      <c r="HB567" s="10"/>
      <c r="HC567" s="10"/>
      <c r="HD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/>
      <c r="GQ568" s="10"/>
      <c r="GR568" s="10"/>
      <c r="GS568" s="10"/>
      <c r="GT568" s="10"/>
      <c r="GU568" s="10"/>
      <c r="GV568" s="10"/>
      <c r="GW568" s="10"/>
      <c r="GX568" s="10"/>
      <c r="GY568" s="10"/>
      <c r="GZ568" s="10"/>
      <c r="HA568" s="10"/>
      <c r="HB568" s="10"/>
      <c r="HC568" s="10"/>
      <c r="HD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/>
      <c r="GQ569" s="10"/>
      <c r="GR569" s="10"/>
      <c r="GS569" s="10"/>
      <c r="GT569" s="10"/>
      <c r="GU569" s="10"/>
      <c r="GV569" s="10"/>
      <c r="GW569" s="10"/>
      <c r="GX569" s="10"/>
      <c r="GY569" s="10"/>
      <c r="GZ569" s="10"/>
      <c r="HA569" s="10"/>
      <c r="HB569" s="10"/>
      <c r="HC569" s="10"/>
      <c r="HD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/>
      <c r="GQ570" s="10"/>
      <c r="GR570" s="10"/>
      <c r="GS570" s="10"/>
      <c r="GT570" s="10"/>
      <c r="GU570" s="10"/>
      <c r="GV570" s="10"/>
      <c r="GW570" s="10"/>
      <c r="GX570" s="10"/>
      <c r="GY570" s="10"/>
      <c r="GZ570" s="10"/>
      <c r="HA570" s="10"/>
      <c r="HB570" s="10"/>
      <c r="HC570" s="10"/>
      <c r="HD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/>
      <c r="GQ571" s="10"/>
      <c r="GR571" s="10"/>
      <c r="GS571" s="10"/>
      <c r="GT571" s="10"/>
      <c r="GU571" s="10"/>
      <c r="GV571" s="10"/>
      <c r="GW571" s="10"/>
      <c r="GX571" s="10"/>
      <c r="GY571" s="10"/>
      <c r="GZ571" s="10"/>
      <c r="HA571" s="10"/>
      <c r="HB571" s="10"/>
      <c r="HC571" s="10"/>
      <c r="HD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/>
      <c r="GQ572" s="10"/>
      <c r="GR572" s="10"/>
      <c r="GS572" s="10"/>
      <c r="GT572" s="10"/>
      <c r="GU572" s="10"/>
      <c r="GV572" s="10"/>
      <c r="GW572" s="10"/>
      <c r="GX572" s="10"/>
      <c r="GY572" s="10"/>
      <c r="GZ572" s="10"/>
      <c r="HA572" s="10"/>
      <c r="HB572" s="10"/>
      <c r="HC572" s="10"/>
      <c r="HD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0"/>
      <c r="GZ573" s="10"/>
      <c r="HA573" s="10"/>
      <c r="HB573" s="10"/>
      <c r="HC573" s="10"/>
      <c r="HD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/>
      <c r="GQ574" s="10"/>
      <c r="GR574" s="10"/>
      <c r="GS574" s="10"/>
      <c r="GT574" s="10"/>
      <c r="GU574" s="10"/>
      <c r="GV574" s="10"/>
      <c r="GW574" s="10"/>
      <c r="GX574" s="10"/>
      <c r="GY574" s="10"/>
      <c r="GZ574" s="10"/>
      <c r="HA574" s="10"/>
      <c r="HB574" s="10"/>
      <c r="HC574" s="10"/>
      <c r="HD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/>
      <c r="GQ575" s="10"/>
      <c r="GR575" s="10"/>
      <c r="GS575" s="10"/>
      <c r="GT575" s="10"/>
      <c r="GU575" s="10"/>
      <c r="GV575" s="10"/>
      <c r="GW575" s="10"/>
      <c r="GX575" s="10"/>
      <c r="GY575" s="10"/>
      <c r="GZ575" s="10"/>
      <c r="HA575" s="10"/>
      <c r="HB575" s="10"/>
      <c r="HC575" s="10"/>
      <c r="HD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/>
      <c r="GQ576" s="10"/>
      <c r="GR576" s="10"/>
      <c r="GS576" s="10"/>
      <c r="GT576" s="10"/>
      <c r="GU576" s="10"/>
      <c r="GV576" s="10"/>
      <c r="GW576" s="10"/>
      <c r="GX576" s="10"/>
      <c r="GY576" s="10"/>
      <c r="GZ576" s="10"/>
      <c r="HA576" s="10"/>
      <c r="HB576" s="10"/>
      <c r="HC576" s="10"/>
      <c r="HD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/>
      <c r="GQ577" s="10"/>
      <c r="GR577" s="10"/>
      <c r="GS577" s="10"/>
      <c r="GT577" s="10"/>
      <c r="GU577" s="10"/>
      <c r="GV577" s="10"/>
      <c r="GW577" s="10"/>
      <c r="GX577" s="10"/>
      <c r="GY577" s="10"/>
      <c r="GZ577" s="10"/>
      <c r="HA577" s="10"/>
      <c r="HB577" s="10"/>
      <c r="HC577" s="10"/>
      <c r="HD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  <c r="GQ578" s="10"/>
      <c r="GR578" s="10"/>
      <c r="GS578" s="10"/>
      <c r="GT578" s="10"/>
      <c r="GU578" s="10"/>
      <c r="GV578" s="10"/>
      <c r="GW578" s="10"/>
      <c r="GX578" s="10"/>
      <c r="GY578" s="10"/>
      <c r="GZ578" s="10"/>
      <c r="HA578" s="10"/>
      <c r="HB578" s="10"/>
      <c r="HC578" s="10"/>
      <c r="HD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/>
      <c r="GQ579" s="10"/>
      <c r="GR579" s="10"/>
      <c r="GS579" s="10"/>
      <c r="GT579" s="10"/>
      <c r="GU579" s="10"/>
      <c r="GV579" s="10"/>
      <c r="GW579" s="10"/>
      <c r="GX579" s="10"/>
      <c r="GY579" s="10"/>
      <c r="GZ579" s="10"/>
      <c r="HA579" s="10"/>
      <c r="HB579" s="10"/>
      <c r="HC579" s="10"/>
      <c r="HD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/>
      <c r="GQ580" s="10"/>
      <c r="GR580" s="10"/>
      <c r="GS580" s="10"/>
      <c r="GT580" s="10"/>
      <c r="GU580" s="10"/>
      <c r="GV580" s="10"/>
      <c r="GW580" s="10"/>
      <c r="GX580" s="10"/>
      <c r="GY580" s="10"/>
      <c r="GZ580" s="10"/>
      <c r="HA580" s="10"/>
      <c r="HB580" s="10"/>
      <c r="HC580" s="10"/>
      <c r="HD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/>
      <c r="GQ581" s="10"/>
      <c r="GR581" s="10"/>
      <c r="GS581" s="10"/>
      <c r="GT581" s="10"/>
      <c r="GU581" s="10"/>
      <c r="GV581" s="10"/>
      <c r="GW581" s="10"/>
      <c r="GX581" s="10"/>
      <c r="GY581" s="10"/>
      <c r="GZ581" s="10"/>
      <c r="HA581" s="10"/>
      <c r="HB581" s="10"/>
      <c r="HC581" s="10"/>
      <c r="HD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/>
      <c r="GQ582" s="10"/>
      <c r="GR582" s="10"/>
      <c r="GS582" s="10"/>
      <c r="GT582" s="10"/>
      <c r="GU582" s="10"/>
      <c r="GV582" s="10"/>
      <c r="GW582" s="10"/>
      <c r="GX582" s="10"/>
      <c r="GY582" s="10"/>
      <c r="GZ582" s="10"/>
      <c r="HA582" s="10"/>
      <c r="HB582" s="10"/>
      <c r="HC582" s="10"/>
      <c r="HD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/>
      <c r="GQ583" s="10"/>
      <c r="GR583" s="10"/>
      <c r="GS583" s="10"/>
      <c r="GT583" s="10"/>
      <c r="GU583" s="10"/>
      <c r="GV583" s="10"/>
      <c r="GW583" s="10"/>
      <c r="GX583" s="10"/>
      <c r="GY583" s="10"/>
      <c r="GZ583" s="10"/>
      <c r="HA583" s="10"/>
      <c r="HB583" s="10"/>
      <c r="HC583" s="10"/>
      <c r="HD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/>
      <c r="GQ584" s="10"/>
      <c r="GR584" s="10"/>
      <c r="GS584" s="10"/>
      <c r="GT584" s="10"/>
      <c r="GU584" s="10"/>
      <c r="GV584" s="10"/>
      <c r="GW584" s="10"/>
      <c r="GX584" s="10"/>
      <c r="GY584" s="10"/>
      <c r="GZ584" s="10"/>
      <c r="HA584" s="10"/>
      <c r="HB584" s="10"/>
      <c r="HC584" s="10"/>
      <c r="HD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/>
      <c r="GQ585" s="10"/>
      <c r="GR585" s="10"/>
      <c r="GS585" s="10"/>
      <c r="GT585" s="10"/>
      <c r="GU585" s="10"/>
      <c r="GV585" s="10"/>
      <c r="GW585" s="10"/>
      <c r="GX585" s="10"/>
      <c r="GY585" s="10"/>
      <c r="GZ585" s="10"/>
      <c r="HA585" s="10"/>
      <c r="HB585" s="10"/>
      <c r="HC585" s="10"/>
      <c r="HD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/>
      <c r="GQ586" s="10"/>
      <c r="GR586" s="10"/>
      <c r="GS586" s="10"/>
      <c r="GT586" s="10"/>
      <c r="GU586" s="10"/>
      <c r="GV586" s="10"/>
      <c r="GW586" s="10"/>
      <c r="GX586" s="10"/>
      <c r="GY586" s="10"/>
      <c r="GZ586" s="10"/>
      <c r="HA586" s="10"/>
      <c r="HB586" s="10"/>
      <c r="HC586" s="10"/>
      <c r="HD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/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/>
      <c r="GQ587" s="10"/>
      <c r="GR587" s="10"/>
      <c r="GS587" s="10"/>
      <c r="GT587" s="10"/>
      <c r="GU587" s="10"/>
      <c r="GV587" s="10"/>
      <c r="GW587" s="10"/>
      <c r="GX587" s="10"/>
      <c r="GY587" s="10"/>
      <c r="GZ587" s="10"/>
      <c r="HA587" s="10"/>
      <c r="HB587" s="10"/>
      <c r="HC587" s="10"/>
      <c r="HD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/>
      <c r="GQ588" s="10"/>
      <c r="GR588" s="10"/>
      <c r="GS588" s="10"/>
      <c r="GT588" s="10"/>
      <c r="GU588" s="10"/>
      <c r="GV588" s="10"/>
      <c r="GW588" s="10"/>
      <c r="GX588" s="10"/>
      <c r="GY588" s="10"/>
      <c r="GZ588" s="10"/>
      <c r="HA588" s="10"/>
      <c r="HB588" s="10"/>
      <c r="HC588" s="10"/>
      <c r="HD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/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/>
      <c r="GQ589" s="10"/>
      <c r="GR589" s="10"/>
      <c r="GS589" s="10"/>
      <c r="GT589" s="10"/>
      <c r="GU589" s="10"/>
      <c r="GV589" s="10"/>
      <c r="GW589" s="10"/>
      <c r="GX589" s="10"/>
      <c r="GY589" s="10"/>
      <c r="GZ589" s="10"/>
      <c r="HA589" s="10"/>
      <c r="HB589" s="10"/>
      <c r="HC589" s="10"/>
      <c r="HD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/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/>
      <c r="GQ590" s="10"/>
      <c r="GR590" s="10"/>
      <c r="GS590" s="10"/>
      <c r="GT590" s="10"/>
      <c r="GU590" s="10"/>
      <c r="GV590" s="10"/>
      <c r="GW590" s="10"/>
      <c r="GX590" s="10"/>
      <c r="GY590" s="10"/>
      <c r="GZ590" s="10"/>
      <c r="HA590" s="10"/>
      <c r="HB590" s="10"/>
      <c r="HC590" s="10"/>
      <c r="HD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/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/>
      <c r="GQ591" s="10"/>
      <c r="GR591" s="10"/>
      <c r="GS591" s="10"/>
      <c r="GT591" s="10"/>
      <c r="GU591" s="10"/>
      <c r="GV591" s="10"/>
      <c r="GW591" s="10"/>
      <c r="GX591" s="10"/>
      <c r="GY591" s="10"/>
      <c r="GZ591" s="10"/>
      <c r="HA591" s="10"/>
      <c r="HB591" s="10"/>
      <c r="HC591" s="10"/>
      <c r="HD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  <c r="GS592" s="10"/>
      <c r="GT592" s="10"/>
      <c r="GU592" s="10"/>
      <c r="GV592" s="10"/>
      <c r="GW592" s="10"/>
      <c r="GX592" s="10"/>
      <c r="GY592" s="10"/>
      <c r="GZ592" s="10"/>
      <c r="HA592" s="10"/>
      <c r="HB592" s="10"/>
      <c r="HC592" s="10"/>
      <c r="HD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/>
      <c r="GQ593" s="10"/>
      <c r="GR593" s="10"/>
      <c r="GS593" s="10"/>
      <c r="GT593" s="10"/>
      <c r="GU593" s="10"/>
      <c r="GV593" s="10"/>
      <c r="GW593" s="10"/>
      <c r="GX593" s="10"/>
      <c r="GY593" s="10"/>
      <c r="GZ593" s="10"/>
      <c r="HA593" s="10"/>
      <c r="HB593" s="10"/>
      <c r="HC593" s="10"/>
      <c r="HD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/>
      <c r="GQ594" s="10"/>
      <c r="GR594" s="10"/>
      <c r="GS594" s="10"/>
      <c r="GT594" s="10"/>
      <c r="GU594" s="10"/>
      <c r="GV594" s="10"/>
      <c r="GW594" s="10"/>
      <c r="GX594" s="10"/>
      <c r="GY594" s="10"/>
      <c r="GZ594" s="10"/>
      <c r="HA594" s="10"/>
      <c r="HB594" s="10"/>
      <c r="HC594" s="10"/>
      <c r="HD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/>
      <c r="GQ595" s="10"/>
      <c r="GR595" s="10"/>
      <c r="GS595" s="10"/>
      <c r="GT595" s="10"/>
      <c r="GU595" s="10"/>
      <c r="GV595" s="10"/>
      <c r="GW595" s="10"/>
      <c r="GX595" s="10"/>
      <c r="GY595" s="10"/>
      <c r="GZ595" s="10"/>
      <c r="HA595" s="10"/>
      <c r="HB595" s="10"/>
      <c r="HC595" s="10"/>
      <c r="HD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/>
      <c r="GQ596" s="10"/>
      <c r="GR596" s="10"/>
      <c r="GS596" s="10"/>
      <c r="GT596" s="10"/>
      <c r="GU596" s="10"/>
      <c r="GV596" s="10"/>
      <c r="GW596" s="10"/>
      <c r="GX596" s="10"/>
      <c r="GY596" s="10"/>
      <c r="GZ596" s="10"/>
      <c r="HA596" s="10"/>
      <c r="HB596" s="10"/>
      <c r="HC596" s="10"/>
      <c r="HD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/>
      <c r="GQ597" s="10"/>
      <c r="GR597" s="10"/>
      <c r="GS597" s="10"/>
      <c r="GT597" s="10"/>
      <c r="GU597" s="10"/>
      <c r="GV597" s="10"/>
      <c r="GW597" s="10"/>
      <c r="GX597" s="10"/>
      <c r="GY597" s="10"/>
      <c r="GZ597" s="10"/>
      <c r="HA597" s="10"/>
      <c r="HB597" s="10"/>
      <c r="HC597" s="10"/>
      <c r="HD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/>
      <c r="GQ598" s="10"/>
      <c r="GR598" s="10"/>
      <c r="GS598" s="10"/>
      <c r="GT598" s="10"/>
      <c r="GU598" s="10"/>
      <c r="GV598" s="10"/>
      <c r="GW598" s="10"/>
      <c r="GX598" s="10"/>
      <c r="GY598" s="10"/>
      <c r="GZ598" s="10"/>
      <c r="HA598" s="10"/>
      <c r="HB598" s="10"/>
      <c r="HC598" s="10"/>
      <c r="HD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/>
      <c r="GQ599" s="10"/>
      <c r="GR599" s="10"/>
      <c r="GS599" s="10"/>
      <c r="GT599" s="10"/>
      <c r="GU599" s="10"/>
      <c r="GV599" s="10"/>
      <c r="GW599" s="10"/>
      <c r="GX599" s="10"/>
      <c r="GY599" s="10"/>
      <c r="GZ599" s="10"/>
      <c r="HA599" s="10"/>
      <c r="HB599" s="10"/>
      <c r="HC599" s="10"/>
      <c r="HD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/>
      <c r="GQ600" s="10"/>
      <c r="GR600" s="10"/>
      <c r="GS600" s="10"/>
      <c r="GT600" s="10"/>
      <c r="GU600" s="10"/>
      <c r="GV600" s="10"/>
      <c r="GW600" s="10"/>
      <c r="GX600" s="10"/>
      <c r="GY600" s="10"/>
      <c r="GZ600" s="10"/>
      <c r="HA600" s="10"/>
      <c r="HB600" s="10"/>
      <c r="HC600" s="10"/>
      <c r="HD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/>
      <c r="GQ601" s="10"/>
      <c r="GR601" s="10"/>
      <c r="GS601" s="10"/>
      <c r="GT601" s="10"/>
      <c r="GU601" s="10"/>
      <c r="GV601" s="10"/>
      <c r="GW601" s="10"/>
      <c r="GX601" s="10"/>
      <c r="GY601" s="10"/>
      <c r="GZ601" s="10"/>
      <c r="HA601" s="10"/>
      <c r="HB601" s="10"/>
      <c r="HC601" s="10"/>
      <c r="HD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/>
      <c r="GQ602" s="10"/>
      <c r="GR602" s="10"/>
      <c r="GS602" s="10"/>
      <c r="GT602" s="10"/>
      <c r="GU602" s="10"/>
      <c r="GV602" s="10"/>
      <c r="GW602" s="10"/>
      <c r="GX602" s="10"/>
      <c r="GY602" s="10"/>
      <c r="GZ602" s="10"/>
      <c r="HA602" s="10"/>
      <c r="HB602" s="10"/>
      <c r="HC602" s="10"/>
      <c r="HD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/>
      <c r="GQ603" s="10"/>
      <c r="GR603" s="10"/>
      <c r="GS603" s="10"/>
      <c r="GT603" s="10"/>
      <c r="GU603" s="10"/>
      <c r="GV603" s="10"/>
      <c r="GW603" s="10"/>
      <c r="GX603" s="10"/>
      <c r="GY603" s="10"/>
      <c r="GZ603" s="10"/>
      <c r="HA603" s="10"/>
      <c r="HB603" s="10"/>
      <c r="HC603" s="10"/>
      <c r="HD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/>
      <c r="GQ604" s="10"/>
      <c r="GR604" s="10"/>
      <c r="GS604" s="10"/>
      <c r="GT604" s="10"/>
      <c r="GU604" s="10"/>
      <c r="GV604" s="10"/>
      <c r="GW604" s="10"/>
      <c r="GX604" s="10"/>
      <c r="GY604" s="10"/>
      <c r="GZ604" s="10"/>
      <c r="HA604" s="10"/>
      <c r="HB604" s="10"/>
      <c r="HC604" s="10"/>
      <c r="HD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/>
      <c r="GQ605" s="10"/>
      <c r="GR605" s="10"/>
      <c r="GS605" s="10"/>
      <c r="GT605" s="10"/>
      <c r="GU605" s="10"/>
      <c r="GV605" s="10"/>
      <c r="GW605" s="10"/>
      <c r="GX605" s="10"/>
      <c r="GY605" s="10"/>
      <c r="GZ605" s="10"/>
      <c r="HA605" s="10"/>
      <c r="HB605" s="10"/>
      <c r="HC605" s="10"/>
      <c r="HD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/>
      <c r="GQ606" s="10"/>
      <c r="GR606" s="10"/>
      <c r="GS606" s="10"/>
      <c r="GT606" s="10"/>
      <c r="GU606" s="10"/>
      <c r="GV606" s="10"/>
      <c r="GW606" s="10"/>
      <c r="GX606" s="10"/>
      <c r="GY606" s="10"/>
      <c r="GZ606" s="10"/>
      <c r="HA606" s="10"/>
      <c r="HB606" s="10"/>
      <c r="HC606" s="10"/>
      <c r="HD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/>
      <c r="GQ607" s="10"/>
      <c r="GR607" s="10"/>
      <c r="GS607" s="10"/>
      <c r="GT607" s="10"/>
      <c r="GU607" s="10"/>
      <c r="GV607" s="10"/>
      <c r="GW607" s="10"/>
      <c r="GX607" s="10"/>
      <c r="GY607" s="10"/>
      <c r="GZ607" s="10"/>
      <c r="HA607" s="10"/>
      <c r="HB607" s="10"/>
      <c r="HC607" s="10"/>
      <c r="HD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/>
      <c r="GQ608" s="10"/>
      <c r="GR608" s="10"/>
      <c r="GS608" s="10"/>
      <c r="GT608" s="10"/>
      <c r="GU608" s="10"/>
      <c r="GV608" s="10"/>
      <c r="GW608" s="10"/>
      <c r="GX608" s="10"/>
      <c r="GY608" s="10"/>
      <c r="GZ608" s="10"/>
      <c r="HA608" s="10"/>
      <c r="HB608" s="10"/>
      <c r="HC608" s="10"/>
      <c r="HD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/>
      <c r="GQ609" s="10"/>
      <c r="GR609" s="10"/>
      <c r="GS609" s="10"/>
      <c r="GT609" s="10"/>
      <c r="GU609" s="10"/>
      <c r="GV609" s="10"/>
      <c r="GW609" s="10"/>
      <c r="GX609" s="10"/>
      <c r="GY609" s="10"/>
      <c r="GZ609" s="10"/>
      <c r="HA609" s="10"/>
      <c r="HB609" s="10"/>
      <c r="HC609" s="10"/>
      <c r="HD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/>
      <c r="GQ610" s="10"/>
      <c r="GR610" s="10"/>
      <c r="GS610" s="10"/>
      <c r="GT610" s="10"/>
      <c r="GU610" s="10"/>
      <c r="GV610" s="10"/>
      <c r="GW610" s="10"/>
      <c r="GX610" s="10"/>
      <c r="GY610" s="10"/>
      <c r="GZ610" s="10"/>
      <c r="HA610" s="10"/>
      <c r="HB610" s="10"/>
      <c r="HC610" s="10"/>
      <c r="HD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/>
      <c r="GQ611" s="10"/>
      <c r="GR611" s="10"/>
      <c r="GS611" s="10"/>
      <c r="GT611" s="10"/>
      <c r="GU611" s="10"/>
      <c r="GV611" s="10"/>
      <c r="GW611" s="10"/>
      <c r="GX611" s="10"/>
      <c r="GY611" s="10"/>
      <c r="GZ611" s="10"/>
      <c r="HA611" s="10"/>
      <c r="HB611" s="10"/>
      <c r="HC611" s="10"/>
      <c r="HD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/>
      <c r="GQ612" s="10"/>
      <c r="GR612" s="10"/>
      <c r="GS612" s="10"/>
      <c r="GT612" s="10"/>
      <c r="GU612" s="10"/>
      <c r="GV612" s="10"/>
      <c r="GW612" s="10"/>
      <c r="GX612" s="10"/>
      <c r="GY612" s="10"/>
      <c r="GZ612" s="10"/>
      <c r="HA612" s="10"/>
      <c r="HB612" s="10"/>
      <c r="HC612" s="10"/>
      <c r="HD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/>
      <c r="GQ613" s="10"/>
      <c r="GR613" s="10"/>
      <c r="GS613" s="10"/>
      <c r="GT613" s="10"/>
      <c r="GU613" s="10"/>
      <c r="GV613" s="10"/>
      <c r="GW613" s="10"/>
      <c r="GX613" s="10"/>
      <c r="GY613" s="10"/>
      <c r="GZ613" s="10"/>
      <c r="HA613" s="10"/>
      <c r="HB613" s="10"/>
      <c r="HC613" s="10"/>
      <c r="HD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/>
      <c r="GQ614" s="10"/>
      <c r="GR614" s="10"/>
      <c r="GS614" s="10"/>
      <c r="GT614" s="10"/>
      <c r="GU614" s="10"/>
      <c r="GV614" s="10"/>
      <c r="GW614" s="10"/>
      <c r="GX614" s="10"/>
      <c r="GY614" s="10"/>
      <c r="GZ614" s="10"/>
      <c r="HA614" s="10"/>
      <c r="HB614" s="10"/>
      <c r="HC614" s="10"/>
      <c r="HD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/>
      <c r="GQ615" s="10"/>
      <c r="GR615" s="10"/>
      <c r="GS615" s="10"/>
      <c r="GT615" s="10"/>
      <c r="GU615" s="10"/>
      <c r="GV615" s="10"/>
      <c r="GW615" s="10"/>
      <c r="GX615" s="10"/>
      <c r="GY615" s="10"/>
      <c r="GZ615" s="10"/>
      <c r="HA615" s="10"/>
      <c r="HB615" s="10"/>
      <c r="HC615" s="10"/>
      <c r="HD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/>
      <c r="GQ616" s="10"/>
      <c r="GR616" s="10"/>
      <c r="GS616" s="10"/>
      <c r="GT616" s="10"/>
      <c r="GU616" s="10"/>
      <c r="GV616" s="10"/>
      <c r="GW616" s="10"/>
      <c r="GX616" s="10"/>
      <c r="GY616" s="10"/>
      <c r="GZ616" s="10"/>
      <c r="HA616" s="10"/>
      <c r="HB616" s="10"/>
      <c r="HC616" s="10"/>
      <c r="HD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/>
      <c r="GQ617" s="10"/>
      <c r="GR617" s="10"/>
      <c r="GS617" s="10"/>
      <c r="GT617" s="10"/>
      <c r="GU617" s="10"/>
      <c r="GV617" s="10"/>
      <c r="GW617" s="10"/>
      <c r="GX617" s="10"/>
      <c r="GY617" s="10"/>
      <c r="GZ617" s="10"/>
      <c r="HA617" s="10"/>
      <c r="HB617" s="10"/>
      <c r="HC617" s="10"/>
      <c r="HD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  <c r="GP618" s="10"/>
      <c r="GQ618" s="10"/>
      <c r="GR618" s="10"/>
      <c r="GS618" s="10"/>
      <c r="GT618" s="10"/>
      <c r="GU618" s="10"/>
      <c r="GV618" s="10"/>
      <c r="GW618" s="10"/>
      <c r="GX618" s="10"/>
      <c r="GY618" s="10"/>
      <c r="GZ618" s="10"/>
      <c r="HA618" s="10"/>
      <c r="HB618" s="10"/>
      <c r="HC618" s="10"/>
      <c r="HD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/>
      <c r="GQ619" s="10"/>
      <c r="GR619" s="10"/>
      <c r="GS619" s="10"/>
      <c r="GT619" s="10"/>
      <c r="GU619" s="10"/>
      <c r="GV619" s="10"/>
      <c r="GW619" s="10"/>
      <c r="GX619" s="10"/>
      <c r="GY619" s="10"/>
      <c r="GZ619" s="10"/>
      <c r="HA619" s="10"/>
      <c r="HB619" s="10"/>
      <c r="HC619" s="10"/>
      <c r="HD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/>
      <c r="GQ620" s="10"/>
      <c r="GR620" s="10"/>
      <c r="GS620" s="10"/>
      <c r="GT620" s="10"/>
      <c r="GU620" s="10"/>
      <c r="GV620" s="10"/>
      <c r="GW620" s="10"/>
      <c r="GX620" s="10"/>
      <c r="GY620" s="10"/>
      <c r="GZ620" s="10"/>
      <c r="HA620" s="10"/>
      <c r="HB620" s="10"/>
      <c r="HC620" s="10"/>
      <c r="HD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/>
      <c r="GQ621" s="10"/>
      <c r="GR621" s="10"/>
      <c r="GS621" s="10"/>
      <c r="GT621" s="10"/>
      <c r="GU621" s="10"/>
      <c r="GV621" s="10"/>
      <c r="GW621" s="10"/>
      <c r="GX621" s="10"/>
      <c r="GY621" s="10"/>
      <c r="GZ621" s="10"/>
      <c r="HA621" s="10"/>
      <c r="HB621" s="10"/>
      <c r="HC621" s="10"/>
      <c r="HD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/>
      <c r="GQ622" s="10"/>
      <c r="GR622" s="10"/>
      <c r="GS622" s="10"/>
      <c r="GT622" s="10"/>
      <c r="GU622" s="10"/>
      <c r="GV622" s="10"/>
      <c r="GW622" s="10"/>
      <c r="GX622" s="10"/>
      <c r="GY622" s="10"/>
      <c r="GZ622" s="10"/>
      <c r="HA622" s="10"/>
      <c r="HB622" s="10"/>
      <c r="HC622" s="10"/>
      <c r="HD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/>
      <c r="GQ623" s="10"/>
      <c r="GR623" s="10"/>
      <c r="GS623" s="10"/>
      <c r="GT623" s="10"/>
      <c r="GU623" s="10"/>
      <c r="GV623" s="10"/>
      <c r="GW623" s="10"/>
      <c r="GX623" s="10"/>
      <c r="GY623" s="10"/>
      <c r="GZ623" s="10"/>
      <c r="HA623" s="10"/>
      <c r="HB623" s="10"/>
      <c r="HC623" s="10"/>
      <c r="HD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/>
      <c r="GQ624" s="10"/>
      <c r="GR624" s="10"/>
      <c r="GS624" s="10"/>
      <c r="GT624" s="10"/>
      <c r="GU624" s="10"/>
      <c r="GV624" s="10"/>
      <c r="GW624" s="10"/>
      <c r="GX624" s="10"/>
      <c r="GY624" s="10"/>
      <c r="GZ624" s="10"/>
      <c r="HA624" s="10"/>
      <c r="HB624" s="10"/>
      <c r="HC624" s="10"/>
      <c r="HD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/>
      <c r="GQ625" s="10"/>
      <c r="GR625" s="10"/>
      <c r="GS625" s="10"/>
      <c r="GT625" s="10"/>
      <c r="GU625" s="10"/>
      <c r="GV625" s="10"/>
      <c r="GW625" s="10"/>
      <c r="GX625" s="10"/>
      <c r="GY625" s="10"/>
      <c r="GZ625" s="10"/>
      <c r="HA625" s="10"/>
      <c r="HB625" s="10"/>
      <c r="HC625" s="10"/>
      <c r="HD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  <c r="GQ626" s="10"/>
      <c r="GR626" s="10"/>
      <c r="GS626" s="10"/>
      <c r="GT626" s="10"/>
      <c r="GU626" s="10"/>
      <c r="GV626" s="10"/>
      <c r="GW626" s="10"/>
      <c r="GX626" s="10"/>
      <c r="GY626" s="10"/>
      <c r="GZ626" s="10"/>
      <c r="HA626" s="10"/>
      <c r="HB626" s="10"/>
      <c r="HC626" s="10"/>
      <c r="HD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/>
      <c r="GQ627" s="10"/>
      <c r="GR627" s="10"/>
      <c r="GS627" s="10"/>
      <c r="GT627" s="10"/>
      <c r="GU627" s="10"/>
      <c r="GV627" s="10"/>
      <c r="GW627" s="10"/>
      <c r="GX627" s="10"/>
      <c r="GY627" s="10"/>
      <c r="GZ627" s="10"/>
      <c r="HA627" s="10"/>
      <c r="HB627" s="10"/>
      <c r="HC627" s="10"/>
      <c r="HD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/>
      <c r="GQ628" s="10"/>
      <c r="GR628" s="10"/>
      <c r="GS628" s="10"/>
      <c r="GT628" s="10"/>
      <c r="GU628" s="10"/>
      <c r="GV628" s="10"/>
      <c r="GW628" s="10"/>
      <c r="GX628" s="10"/>
      <c r="GY628" s="10"/>
      <c r="GZ628" s="10"/>
      <c r="HA628" s="10"/>
      <c r="HB628" s="10"/>
      <c r="HC628" s="10"/>
      <c r="HD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/>
      <c r="GQ629" s="10"/>
      <c r="GR629" s="10"/>
      <c r="GS629" s="10"/>
      <c r="GT629" s="10"/>
      <c r="GU629" s="10"/>
      <c r="GV629" s="10"/>
      <c r="GW629" s="10"/>
      <c r="GX629" s="10"/>
      <c r="GY629" s="10"/>
      <c r="GZ629" s="10"/>
      <c r="HA629" s="10"/>
      <c r="HB629" s="10"/>
      <c r="HC629" s="10"/>
      <c r="HD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/>
      <c r="GQ630" s="10"/>
      <c r="GR630" s="10"/>
      <c r="GS630" s="10"/>
      <c r="GT630" s="10"/>
      <c r="GU630" s="10"/>
      <c r="GV630" s="10"/>
      <c r="GW630" s="10"/>
      <c r="GX630" s="10"/>
      <c r="GY630" s="10"/>
      <c r="GZ630" s="10"/>
      <c r="HA630" s="10"/>
      <c r="HB630" s="10"/>
      <c r="HC630" s="10"/>
      <c r="HD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/>
      <c r="GQ631" s="10"/>
      <c r="GR631" s="10"/>
      <c r="GS631" s="10"/>
      <c r="GT631" s="10"/>
      <c r="GU631" s="10"/>
      <c r="GV631" s="10"/>
      <c r="GW631" s="10"/>
      <c r="GX631" s="10"/>
      <c r="GY631" s="10"/>
      <c r="GZ631" s="10"/>
      <c r="HA631" s="10"/>
      <c r="HB631" s="10"/>
      <c r="HC631" s="10"/>
      <c r="HD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/>
      <c r="GQ632" s="10"/>
      <c r="GR632" s="10"/>
      <c r="GS632" s="10"/>
      <c r="GT632" s="10"/>
      <c r="GU632" s="10"/>
      <c r="GV632" s="10"/>
      <c r="GW632" s="10"/>
      <c r="GX632" s="10"/>
      <c r="GY632" s="10"/>
      <c r="GZ632" s="10"/>
      <c r="HA632" s="10"/>
      <c r="HB632" s="10"/>
      <c r="HC632" s="10"/>
      <c r="HD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  <c r="GQ633" s="10"/>
      <c r="GR633" s="10"/>
      <c r="GS633" s="10"/>
      <c r="GT633" s="10"/>
      <c r="GU633" s="10"/>
      <c r="GV633" s="10"/>
      <c r="GW633" s="10"/>
      <c r="GX633" s="10"/>
      <c r="GY633" s="10"/>
      <c r="GZ633" s="10"/>
      <c r="HA633" s="10"/>
      <c r="HB633" s="10"/>
      <c r="HC633" s="10"/>
      <c r="HD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/>
      <c r="GQ634" s="10"/>
      <c r="GR634" s="10"/>
      <c r="GS634" s="10"/>
      <c r="GT634" s="10"/>
      <c r="GU634" s="10"/>
      <c r="GV634" s="10"/>
      <c r="GW634" s="10"/>
      <c r="GX634" s="10"/>
      <c r="GY634" s="10"/>
      <c r="GZ634" s="10"/>
      <c r="HA634" s="10"/>
      <c r="HB634" s="10"/>
      <c r="HC634" s="10"/>
      <c r="HD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/>
      <c r="GQ635" s="10"/>
      <c r="GR635" s="10"/>
      <c r="GS635" s="10"/>
      <c r="GT635" s="10"/>
      <c r="GU635" s="10"/>
      <c r="GV635" s="10"/>
      <c r="GW635" s="10"/>
      <c r="GX635" s="10"/>
      <c r="GY635" s="10"/>
      <c r="GZ635" s="10"/>
      <c r="HA635" s="10"/>
      <c r="HB635" s="10"/>
      <c r="HC635" s="10"/>
      <c r="HD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/>
      <c r="GQ636" s="10"/>
      <c r="GR636" s="10"/>
      <c r="GS636" s="10"/>
      <c r="GT636" s="10"/>
      <c r="GU636" s="10"/>
      <c r="GV636" s="10"/>
      <c r="GW636" s="10"/>
      <c r="GX636" s="10"/>
      <c r="GY636" s="10"/>
      <c r="GZ636" s="10"/>
      <c r="HA636" s="10"/>
      <c r="HB636" s="10"/>
      <c r="HC636" s="10"/>
      <c r="HD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/>
      <c r="GQ637" s="10"/>
      <c r="GR637" s="10"/>
      <c r="GS637" s="10"/>
      <c r="GT637" s="10"/>
      <c r="GU637" s="10"/>
      <c r="GV637" s="10"/>
      <c r="GW637" s="10"/>
      <c r="GX637" s="10"/>
      <c r="GY637" s="10"/>
      <c r="GZ637" s="10"/>
      <c r="HA637" s="10"/>
      <c r="HB637" s="10"/>
      <c r="HC637" s="10"/>
      <c r="HD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/>
      <c r="EN638" s="10"/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/>
      <c r="GQ638" s="10"/>
      <c r="GR638" s="10"/>
      <c r="GS638" s="10"/>
      <c r="GT638" s="10"/>
      <c r="GU638" s="10"/>
      <c r="GV638" s="10"/>
      <c r="GW638" s="10"/>
      <c r="GX638" s="10"/>
      <c r="GY638" s="10"/>
      <c r="GZ638" s="10"/>
      <c r="HA638" s="10"/>
      <c r="HB638" s="10"/>
      <c r="HC638" s="10"/>
      <c r="HD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/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/>
      <c r="GQ639" s="10"/>
      <c r="GR639" s="10"/>
      <c r="GS639" s="10"/>
      <c r="GT639" s="10"/>
      <c r="GU639" s="10"/>
      <c r="GV639" s="10"/>
      <c r="GW639" s="10"/>
      <c r="GX639" s="10"/>
      <c r="GY639" s="10"/>
      <c r="GZ639" s="10"/>
      <c r="HA639" s="10"/>
      <c r="HB639" s="10"/>
      <c r="HC639" s="10"/>
      <c r="HD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/>
      <c r="GQ640" s="10"/>
      <c r="GR640" s="10"/>
      <c r="GS640" s="10"/>
      <c r="GT640" s="10"/>
      <c r="GU640" s="10"/>
      <c r="GV640" s="10"/>
      <c r="GW640" s="10"/>
      <c r="GX640" s="10"/>
      <c r="GY640" s="10"/>
      <c r="GZ640" s="10"/>
      <c r="HA640" s="10"/>
      <c r="HB640" s="10"/>
      <c r="HC640" s="10"/>
      <c r="HD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  <c r="GQ641" s="10"/>
      <c r="GR641" s="10"/>
      <c r="GS641" s="10"/>
      <c r="GT641" s="10"/>
      <c r="GU641" s="10"/>
      <c r="GV641" s="10"/>
      <c r="GW641" s="10"/>
      <c r="GX641" s="10"/>
      <c r="GY641" s="10"/>
      <c r="GZ641" s="10"/>
      <c r="HA641" s="10"/>
      <c r="HB641" s="10"/>
      <c r="HC641" s="10"/>
      <c r="HD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/>
      <c r="GQ642" s="10"/>
      <c r="GR642" s="10"/>
      <c r="GS642" s="10"/>
      <c r="GT642" s="10"/>
      <c r="GU642" s="10"/>
      <c r="GV642" s="10"/>
      <c r="GW642" s="10"/>
      <c r="GX642" s="10"/>
      <c r="GY642" s="10"/>
      <c r="GZ642" s="10"/>
      <c r="HA642" s="10"/>
      <c r="HB642" s="10"/>
      <c r="HC642" s="10"/>
      <c r="HD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/>
      <c r="GQ643" s="10"/>
      <c r="GR643" s="10"/>
      <c r="GS643" s="10"/>
      <c r="GT643" s="10"/>
      <c r="GU643" s="10"/>
      <c r="GV643" s="10"/>
      <c r="GW643" s="10"/>
      <c r="GX643" s="10"/>
      <c r="GY643" s="10"/>
      <c r="GZ643" s="10"/>
      <c r="HA643" s="10"/>
      <c r="HB643" s="10"/>
      <c r="HC643" s="10"/>
      <c r="HD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/>
      <c r="GQ644" s="10"/>
      <c r="GR644" s="10"/>
      <c r="GS644" s="10"/>
      <c r="GT644" s="10"/>
      <c r="GU644" s="10"/>
      <c r="GV644" s="10"/>
      <c r="GW644" s="10"/>
      <c r="GX644" s="10"/>
      <c r="GY644" s="10"/>
      <c r="GZ644" s="10"/>
      <c r="HA644" s="10"/>
      <c r="HB644" s="10"/>
      <c r="HC644" s="10"/>
      <c r="HD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/>
      <c r="GQ645" s="10"/>
      <c r="GR645" s="10"/>
      <c r="GS645" s="10"/>
      <c r="GT645" s="10"/>
      <c r="GU645" s="10"/>
      <c r="GV645" s="10"/>
      <c r="GW645" s="10"/>
      <c r="GX645" s="10"/>
      <c r="GY645" s="10"/>
      <c r="GZ645" s="10"/>
      <c r="HA645" s="10"/>
      <c r="HB645" s="10"/>
      <c r="HC645" s="10"/>
      <c r="HD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/>
      <c r="GQ646" s="10"/>
      <c r="GR646" s="10"/>
      <c r="GS646" s="10"/>
      <c r="GT646" s="10"/>
      <c r="GU646" s="10"/>
      <c r="GV646" s="10"/>
      <c r="GW646" s="10"/>
      <c r="GX646" s="10"/>
      <c r="GY646" s="10"/>
      <c r="GZ646" s="10"/>
      <c r="HA646" s="10"/>
      <c r="HB646" s="10"/>
      <c r="HC646" s="10"/>
      <c r="HD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/>
      <c r="GQ647" s="10"/>
      <c r="GR647" s="10"/>
      <c r="GS647" s="10"/>
      <c r="GT647" s="10"/>
      <c r="GU647" s="10"/>
      <c r="GV647" s="10"/>
      <c r="GW647" s="10"/>
      <c r="GX647" s="10"/>
      <c r="GY647" s="10"/>
      <c r="GZ647" s="10"/>
      <c r="HA647" s="10"/>
      <c r="HB647" s="10"/>
      <c r="HC647" s="10"/>
      <c r="HD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/>
      <c r="GQ648" s="10"/>
      <c r="GR648" s="10"/>
      <c r="GS648" s="10"/>
      <c r="GT648" s="10"/>
      <c r="GU648" s="10"/>
      <c r="GV648" s="10"/>
      <c r="GW648" s="10"/>
      <c r="GX648" s="10"/>
      <c r="GY648" s="10"/>
      <c r="GZ648" s="10"/>
      <c r="HA648" s="10"/>
      <c r="HB648" s="10"/>
      <c r="HC648" s="10"/>
      <c r="HD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/>
      <c r="GQ649" s="10"/>
      <c r="GR649" s="10"/>
      <c r="GS649" s="10"/>
      <c r="GT649" s="10"/>
      <c r="GU649" s="10"/>
      <c r="GV649" s="10"/>
      <c r="GW649" s="10"/>
      <c r="GX649" s="10"/>
      <c r="GY649" s="10"/>
      <c r="GZ649" s="10"/>
      <c r="HA649" s="10"/>
      <c r="HB649" s="10"/>
      <c r="HC649" s="10"/>
      <c r="HD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/>
      <c r="GQ650" s="10"/>
      <c r="GR650" s="10"/>
      <c r="GS650" s="10"/>
      <c r="GT650" s="10"/>
      <c r="GU650" s="10"/>
      <c r="GV650" s="10"/>
      <c r="GW650" s="10"/>
      <c r="GX650" s="10"/>
      <c r="GY650" s="10"/>
      <c r="GZ650" s="10"/>
      <c r="HA650" s="10"/>
      <c r="HB650" s="10"/>
      <c r="HC650" s="10"/>
      <c r="HD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/>
      <c r="GQ651" s="10"/>
      <c r="GR651" s="10"/>
      <c r="GS651" s="10"/>
      <c r="GT651" s="10"/>
      <c r="GU651" s="10"/>
      <c r="GV651" s="10"/>
      <c r="GW651" s="10"/>
      <c r="GX651" s="10"/>
      <c r="GY651" s="10"/>
      <c r="GZ651" s="10"/>
      <c r="HA651" s="10"/>
      <c r="HB651" s="10"/>
      <c r="HC651" s="10"/>
      <c r="HD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/>
      <c r="GQ652" s="10"/>
      <c r="GR652" s="10"/>
      <c r="GS652" s="10"/>
      <c r="GT652" s="10"/>
      <c r="GU652" s="10"/>
      <c r="GV652" s="10"/>
      <c r="GW652" s="10"/>
      <c r="GX652" s="10"/>
      <c r="GY652" s="10"/>
      <c r="GZ652" s="10"/>
      <c r="HA652" s="10"/>
      <c r="HB652" s="10"/>
      <c r="HC652" s="10"/>
      <c r="HD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/>
      <c r="GQ653" s="10"/>
      <c r="GR653" s="10"/>
      <c r="GS653" s="10"/>
      <c r="GT653" s="10"/>
      <c r="GU653" s="10"/>
      <c r="GV653" s="10"/>
      <c r="GW653" s="10"/>
      <c r="GX653" s="10"/>
      <c r="GY653" s="10"/>
      <c r="GZ653" s="10"/>
      <c r="HA653" s="10"/>
      <c r="HB653" s="10"/>
      <c r="HC653" s="10"/>
      <c r="HD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0"/>
      <c r="GZ654" s="10"/>
      <c r="HA654" s="10"/>
      <c r="HB654" s="10"/>
      <c r="HC654" s="10"/>
      <c r="HD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0"/>
      <c r="GZ655" s="10"/>
      <c r="HA655" s="10"/>
      <c r="HB655" s="10"/>
      <c r="HC655" s="10"/>
      <c r="HD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/>
      <c r="GQ656" s="10"/>
      <c r="GR656" s="10"/>
      <c r="GS656" s="10"/>
      <c r="GT656" s="10"/>
      <c r="GU656" s="10"/>
      <c r="GV656" s="10"/>
      <c r="GW656" s="10"/>
      <c r="GX656" s="10"/>
      <c r="GY656" s="10"/>
      <c r="GZ656" s="10"/>
      <c r="HA656" s="10"/>
      <c r="HB656" s="10"/>
      <c r="HC656" s="10"/>
      <c r="HD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0"/>
      <c r="GZ657" s="10"/>
      <c r="HA657" s="10"/>
      <c r="HB657" s="10"/>
      <c r="HC657" s="10"/>
      <c r="HD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0"/>
      <c r="GZ658" s="10"/>
      <c r="HA658" s="10"/>
      <c r="HB658" s="10"/>
      <c r="HC658" s="10"/>
      <c r="HD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/>
      <c r="GQ659" s="10"/>
      <c r="GR659" s="10"/>
      <c r="GS659" s="10"/>
      <c r="GT659" s="10"/>
      <c r="GU659" s="10"/>
      <c r="GV659" s="10"/>
      <c r="GW659" s="10"/>
      <c r="GX659" s="10"/>
      <c r="GY659" s="10"/>
      <c r="GZ659" s="10"/>
      <c r="HA659" s="10"/>
      <c r="HB659" s="10"/>
      <c r="HC659" s="10"/>
      <c r="HD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/>
      <c r="GQ660" s="10"/>
      <c r="GR660" s="10"/>
      <c r="GS660" s="10"/>
      <c r="GT660" s="10"/>
      <c r="GU660" s="10"/>
      <c r="GV660" s="10"/>
      <c r="GW660" s="10"/>
      <c r="GX660" s="10"/>
      <c r="GY660" s="10"/>
      <c r="GZ660" s="10"/>
      <c r="HA660" s="10"/>
      <c r="HB660" s="10"/>
      <c r="HC660" s="10"/>
      <c r="HD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/>
      <c r="GQ661" s="10"/>
      <c r="GR661" s="10"/>
      <c r="GS661" s="10"/>
      <c r="GT661" s="10"/>
      <c r="GU661" s="10"/>
      <c r="GV661" s="10"/>
      <c r="GW661" s="10"/>
      <c r="GX661" s="10"/>
      <c r="GY661" s="10"/>
      <c r="GZ661" s="10"/>
      <c r="HA661" s="10"/>
      <c r="HB661" s="10"/>
      <c r="HC661" s="10"/>
      <c r="HD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/>
      <c r="GP662" s="10"/>
      <c r="GQ662" s="10"/>
      <c r="GR662" s="10"/>
      <c r="GS662" s="10"/>
      <c r="GT662" s="10"/>
      <c r="GU662" s="10"/>
      <c r="GV662" s="10"/>
      <c r="GW662" s="10"/>
      <c r="GX662" s="10"/>
      <c r="GY662" s="10"/>
      <c r="GZ662" s="10"/>
      <c r="HA662" s="10"/>
      <c r="HB662" s="10"/>
      <c r="HC662" s="10"/>
      <c r="HD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/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/>
      <c r="GQ663" s="10"/>
      <c r="GR663" s="10"/>
      <c r="GS663" s="10"/>
      <c r="GT663" s="10"/>
      <c r="GU663" s="10"/>
      <c r="GV663" s="10"/>
      <c r="GW663" s="10"/>
      <c r="GX663" s="10"/>
      <c r="GY663" s="10"/>
      <c r="GZ663" s="10"/>
      <c r="HA663" s="10"/>
      <c r="HB663" s="10"/>
      <c r="HC663" s="10"/>
      <c r="HD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/>
      <c r="GQ664" s="10"/>
      <c r="GR664" s="10"/>
      <c r="GS664" s="10"/>
      <c r="GT664" s="10"/>
      <c r="GU664" s="10"/>
      <c r="GV664" s="10"/>
      <c r="GW664" s="10"/>
      <c r="GX664" s="10"/>
      <c r="GY664" s="10"/>
      <c r="GZ664" s="10"/>
      <c r="HA664" s="10"/>
      <c r="HB664" s="10"/>
      <c r="HC664" s="10"/>
      <c r="HD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0"/>
      <c r="GZ665" s="10"/>
      <c r="HA665" s="10"/>
      <c r="HB665" s="10"/>
      <c r="HC665" s="10"/>
      <c r="HD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/>
      <c r="GQ666" s="10"/>
      <c r="GR666" s="10"/>
      <c r="GS666" s="10"/>
      <c r="GT666" s="10"/>
      <c r="GU666" s="10"/>
      <c r="GV666" s="10"/>
      <c r="GW666" s="10"/>
      <c r="GX666" s="10"/>
      <c r="GY666" s="10"/>
      <c r="GZ666" s="10"/>
      <c r="HA666" s="10"/>
      <c r="HB666" s="10"/>
      <c r="HC666" s="10"/>
      <c r="HD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0"/>
      <c r="GZ667" s="10"/>
      <c r="HA667" s="10"/>
      <c r="HB667" s="10"/>
      <c r="HC667" s="10"/>
      <c r="HD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/>
      <c r="GQ668" s="10"/>
      <c r="GR668" s="10"/>
      <c r="GS668" s="10"/>
      <c r="GT668" s="10"/>
      <c r="GU668" s="10"/>
      <c r="GV668" s="10"/>
      <c r="GW668" s="10"/>
      <c r="GX668" s="10"/>
      <c r="GY668" s="10"/>
      <c r="GZ668" s="10"/>
      <c r="HA668" s="10"/>
      <c r="HB668" s="10"/>
      <c r="HC668" s="10"/>
      <c r="HD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/>
      <c r="GQ669" s="10"/>
      <c r="GR669" s="10"/>
      <c r="GS669" s="10"/>
      <c r="GT669" s="10"/>
      <c r="GU669" s="10"/>
      <c r="GV669" s="10"/>
      <c r="GW669" s="10"/>
      <c r="GX669" s="10"/>
      <c r="GY669" s="10"/>
      <c r="GZ669" s="10"/>
      <c r="HA669" s="10"/>
      <c r="HB669" s="10"/>
      <c r="HC669" s="10"/>
      <c r="HD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/>
      <c r="GQ670" s="10"/>
      <c r="GR670" s="10"/>
      <c r="GS670" s="10"/>
      <c r="GT670" s="10"/>
      <c r="GU670" s="10"/>
      <c r="GV670" s="10"/>
      <c r="GW670" s="10"/>
      <c r="GX670" s="10"/>
      <c r="GY670" s="10"/>
      <c r="GZ670" s="10"/>
      <c r="HA670" s="10"/>
      <c r="HB670" s="10"/>
      <c r="HC670" s="10"/>
      <c r="HD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/>
      <c r="GQ671" s="10"/>
      <c r="GR671" s="10"/>
      <c r="GS671" s="10"/>
      <c r="GT671" s="10"/>
      <c r="GU671" s="10"/>
      <c r="GV671" s="10"/>
      <c r="GW671" s="10"/>
      <c r="GX671" s="10"/>
      <c r="GY671" s="10"/>
      <c r="GZ671" s="10"/>
      <c r="HA671" s="10"/>
      <c r="HB671" s="10"/>
      <c r="HC671" s="10"/>
      <c r="HD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/>
      <c r="GQ672" s="10"/>
      <c r="GR672" s="10"/>
      <c r="GS672" s="10"/>
      <c r="GT672" s="10"/>
      <c r="GU672" s="10"/>
      <c r="GV672" s="10"/>
      <c r="GW672" s="10"/>
      <c r="GX672" s="10"/>
      <c r="GY672" s="10"/>
      <c r="GZ672" s="10"/>
      <c r="HA672" s="10"/>
      <c r="HB672" s="10"/>
      <c r="HC672" s="10"/>
      <c r="HD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/>
      <c r="GQ673" s="10"/>
      <c r="GR673" s="10"/>
      <c r="GS673" s="10"/>
      <c r="GT673" s="10"/>
      <c r="GU673" s="10"/>
      <c r="GV673" s="10"/>
      <c r="GW673" s="10"/>
      <c r="GX673" s="10"/>
      <c r="GY673" s="10"/>
      <c r="GZ673" s="10"/>
      <c r="HA673" s="10"/>
      <c r="HB673" s="10"/>
      <c r="HC673" s="10"/>
      <c r="HD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/>
      <c r="GQ674" s="10"/>
      <c r="GR674" s="10"/>
      <c r="GS674" s="10"/>
      <c r="GT674" s="10"/>
      <c r="GU674" s="10"/>
      <c r="GV674" s="10"/>
      <c r="GW674" s="10"/>
      <c r="GX674" s="10"/>
      <c r="GY674" s="10"/>
      <c r="GZ674" s="10"/>
      <c r="HA674" s="10"/>
      <c r="HB674" s="10"/>
      <c r="HC674" s="10"/>
      <c r="HD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/>
      <c r="GQ675" s="10"/>
      <c r="GR675" s="10"/>
      <c r="GS675" s="10"/>
      <c r="GT675" s="10"/>
      <c r="GU675" s="10"/>
      <c r="GV675" s="10"/>
      <c r="GW675" s="10"/>
      <c r="GX675" s="10"/>
      <c r="GY675" s="10"/>
      <c r="GZ675" s="10"/>
      <c r="HA675" s="10"/>
      <c r="HB675" s="10"/>
      <c r="HC675" s="10"/>
      <c r="HD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/>
      <c r="GQ676" s="10"/>
      <c r="GR676" s="10"/>
      <c r="GS676" s="10"/>
      <c r="GT676" s="10"/>
      <c r="GU676" s="10"/>
      <c r="GV676" s="10"/>
      <c r="GW676" s="10"/>
      <c r="GX676" s="10"/>
      <c r="GY676" s="10"/>
      <c r="GZ676" s="10"/>
      <c r="HA676" s="10"/>
      <c r="HB676" s="10"/>
      <c r="HC676" s="10"/>
      <c r="HD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0"/>
      <c r="GZ677" s="10"/>
      <c r="HA677" s="10"/>
      <c r="HB677" s="10"/>
      <c r="HC677" s="10"/>
      <c r="HD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/>
      <c r="GQ678" s="10"/>
      <c r="GR678" s="10"/>
      <c r="GS678" s="10"/>
      <c r="GT678" s="10"/>
      <c r="GU678" s="10"/>
      <c r="GV678" s="10"/>
      <c r="GW678" s="10"/>
      <c r="GX678" s="10"/>
      <c r="GY678" s="10"/>
      <c r="GZ678" s="10"/>
      <c r="HA678" s="10"/>
      <c r="HB678" s="10"/>
      <c r="HC678" s="10"/>
      <c r="HD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/>
      <c r="GQ679" s="10"/>
      <c r="GR679" s="10"/>
      <c r="GS679" s="10"/>
      <c r="GT679" s="10"/>
      <c r="GU679" s="10"/>
      <c r="GV679" s="10"/>
      <c r="GW679" s="10"/>
      <c r="GX679" s="10"/>
      <c r="GY679" s="10"/>
      <c r="GZ679" s="10"/>
      <c r="HA679" s="10"/>
      <c r="HB679" s="10"/>
      <c r="HC679" s="10"/>
      <c r="HD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/>
      <c r="GQ680" s="10"/>
      <c r="GR680" s="10"/>
      <c r="GS680" s="10"/>
      <c r="GT680" s="10"/>
      <c r="GU680" s="10"/>
      <c r="GV680" s="10"/>
      <c r="GW680" s="10"/>
      <c r="GX680" s="10"/>
      <c r="GY680" s="10"/>
      <c r="GZ680" s="10"/>
      <c r="HA680" s="10"/>
      <c r="HB680" s="10"/>
      <c r="HC680" s="10"/>
      <c r="HD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/>
      <c r="GQ681" s="10"/>
      <c r="GR681" s="10"/>
      <c r="GS681" s="10"/>
      <c r="GT681" s="10"/>
      <c r="GU681" s="10"/>
      <c r="GV681" s="10"/>
      <c r="GW681" s="10"/>
      <c r="GX681" s="10"/>
      <c r="GY681" s="10"/>
      <c r="GZ681" s="10"/>
      <c r="HA681" s="10"/>
      <c r="HB681" s="10"/>
      <c r="HC681" s="10"/>
      <c r="HD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/>
      <c r="GQ682" s="10"/>
      <c r="GR682" s="10"/>
      <c r="GS682" s="10"/>
      <c r="GT682" s="10"/>
      <c r="GU682" s="10"/>
      <c r="GV682" s="10"/>
      <c r="GW682" s="10"/>
      <c r="GX682" s="10"/>
      <c r="GY682" s="10"/>
      <c r="GZ682" s="10"/>
      <c r="HA682" s="10"/>
      <c r="HB682" s="10"/>
      <c r="HC682" s="10"/>
      <c r="HD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0"/>
      <c r="GZ683" s="10"/>
      <c r="HA683" s="10"/>
      <c r="HB683" s="10"/>
      <c r="HC683" s="10"/>
      <c r="HD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/>
      <c r="GQ684" s="10"/>
      <c r="GR684" s="10"/>
      <c r="GS684" s="10"/>
      <c r="GT684" s="10"/>
      <c r="GU684" s="10"/>
      <c r="GV684" s="10"/>
      <c r="GW684" s="10"/>
      <c r="GX684" s="10"/>
      <c r="GY684" s="10"/>
      <c r="GZ684" s="10"/>
      <c r="HA684" s="10"/>
      <c r="HB684" s="10"/>
      <c r="HC684" s="10"/>
      <c r="HD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/>
      <c r="GQ685" s="10"/>
      <c r="GR685" s="10"/>
      <c r="GS685" s="10"/>
      <c r="GT685" s="10"/>
      <c r="GU685" s="10"/>
      <c r="GV685" s="10"/>
      <c r="GW685" s="10"/>
      <c r="GX685" s="10"/>
      <c r="GY685" s="10"/>
      <c r="GZ685" s="10"/>
      <c r="HA685" s="10"/>
      <c r="HB685" s="10"/>
      <c r="HC685" s="10"/>
      <c r="HD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/>
      <c r="GH686" s="10"/>
      <c r="GI686" s="10"/>
      <c r="GJ686" s="10"/>
      <c r="GK686" s="10"/>
      <c r="GL686" s="10"/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0"/>
      <c r="GZ686" s="10"/>
      <c r="HA686" s="10"/>
      <c r="HB686" s="10"/>
      <c r="HC686" s="10"/>
      <c r="HD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/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/>
      <c r="GQ687" s="10"/>
      <c r="GR687" s="10"/>
      <c r="GS687" s="10"/>
      <c r="GT687" s="10"/>
      <c r="GU687" s="10"/>
      <c r="GV687" s="10"/>
      <c r="GW687" s="10"/>
      <c r="GX687" s="10"/>
      <c r="GY687" s="10"/>
      <c r="GZ687" s="10"/>
      <c r="HA687" s="10"/>
      <c r="HB687" s="10"/>
      <c r="HC687" s="10"/>
      <c r="HD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/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/>
      <c r="GQ688" s="10"/>
      <c r="GR688" s="10"/>
      <c r="GS688" s="10"/>
      <c r="GT688" s="10"/>
      <c r="GU688" s="10"/>
      <c r="GV688" s="10"/>
      <c r="GW688" s="10"/>
      <c r="GX688" s="10"/>
      <c r="GY688" s="10"/>
      <c r="GZ688" s="10"/>
      <c r="HA688" s="10"/>
      <c r="HB688" s="10"/>
      <c r="HC688" s="10"/>
      <c r="HD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/>
      <c r="GQ689" s="10"/>
      <c r="GR689" s="10"/>
      <c r="GS689" s="10"/>
      <c r="GT689" s="10"/>
      <c r="GU689" s="10"/>
      <c r="GV689" s="10"/>
      <c r="GW689" s="10"/>
      <c r="GX689" s="10"/>
      <c r="GY689" s="10"/>
      <c r="GZ689" s="10"/>
      <c r="HA689" s="10"/>
      <c r="HB689" s="10"/>
      <c r="HC689" s="10"/>
      <c r="HD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/>
      <c r="GQ690" s="10"/>
      <c r="GR690" s="10"/>
      <c r="GS690" s="10"/>
      <c r="GT690" s="10"/>
      <c r="GU690" s="10"/>
      <c r="GV690" s="10"/>
      <c r="GW690" s="10"/>
      <c r="GX690" s="10"/>
      <c r="GY690" s="10"/>
      <c r="GZ690" s="10"/>
      <c r="HA690" s="10"/>
      <c r="HB690" s="10"/>
      <c r="HC690" s="10"/>
      <c r="HD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0"/>
      <c r="GZ691" s="10"/>
      <c r="HA691" s="10"/>
      <c r="HB691" s="10"/>
      <c r="HC691" s="10"/>
      <c r="HD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/>
      <c r="GQ692" s="10"/>
      <c r="GR692" s="10"/>
      <c r="GS692" s="10"/>
      <c r="GT692" s="10"/>
      <c r="GU692" s="10"/>
      <c r="GV692" s="10"/>
      <c r="GW692" s="10"/>
      <c r="GX692" s="10"/>
      <c r="GY692" s="10"/>
      <c r="GZ692" s="10"/>
      <c r="HA692" s="10"/>
      <c r="HB692" s="10"/>
      <c r="HC692" s="10"/>
      <c r="HD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/>
      <c r="GQ693" s="10"/>
      <c r="GR693" s="10"/>
      <c r="GS693" s="10"/>
      <c r="GT693" s="10"/>
      <c r="GU693" s="10"/>
      <c r="GV693" s="10"/>
      <c r="GW693" s="10"/>
      <c r="GX693" s="10"/>
      <c r="GY693" s="10"/>
      <c r="GZ693" s="10"/>
      <c r="HA693" s="10"/>
      <c r="HB693" s="10"/>
      <c r="HC693" s="10"/>
      <c r="HD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/>
      <c r="GQ694" s="10"/>
      <c r="GR694" s="10"/>
      <c r="GS694" s="10"/>
      <c r="GT694" s="10"/>
      <c r="GU694" s="10"/>
      <c r="GV694" s="10"/>
      <c r="GW694" s="10"/>
      <c r="GX694" s="10"/>
      <c r="GY694" s="10"/>
      <c r="GZ694" s="10"/>
      <c r="HA694" s="10"/>
      <c r="HB694" s="10"/>
      <c r="HC694" s="10"/>
      <c r="HD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/>
      <c r="GQ695" s="10"/>
      <c r="GR695" s="10"/>
      <c r="GS695" s="10"/>
      <c r="GT695" s="10"/>
      <c r="GU695" s="10"/>
      <c r="GV695" s="10"/>
      <c r="GW695" s="10"/>
      <c r="GX695" s="10"/>
      <c r="GY695" s="10"/>
      <c r="GZ695" s="10"/>
      <c r="HA695" s="10"/>
      <c r="HB695" s="10"/>
      <c r="HC695" s="10"/>
      <c r="HD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/>
      <c r="GQ696" s="10"/>
      <c r="GR696" s="10"/>
      <c r="GS696" s="10"/>
      <c r="GT696" s="10"/>
      <c r="GU696" s="10"/>
      <c r="GV696" s="10"/>
      <c r="GW696" s="10"/>
      <c r="GX696" s="10"/>
      <c r="GY696" s="10"/>
      <c r="GZ696" s="10"/>
      <c r="HA696" s="10"/>
      <c r="HB696" s="10"/>
      <c r="HC696" s="10"/>
      <c r="HD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/>
      <c r="GQ697" s="10"/>
      <c r="GR697" s="10"/>
      <c r="GS697" s="10"/>
      <c r="GT697" s="10"/>
      <c r="GU697" s="10"/>
      <c r="GV697" s="10"/>
      <c r="GW697" s="10"/>
      <c r="GX697" s="10"/>
      <c r="GY697" s="10"/>
      <c r="GZ697" s="10"/>
      <c r="HA697" s="10"/>
      <c r="HB697" s="10"/>
      <c r="HC697" s="10"/>
      <c r="HD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/>
      <c r="GQ698" s="10"/>
      <c r="GR698" s="10"/>
      <c r="GS698" s="10"/>
      <c r="GT698" s="10"/>
      <c r="GU698" s="10"/>
      <c r="GV698" s="10"/>
      <c r="GW698" s="10"/>
      <c r="GX698" s="10"/>
      <c r="GY698" s="10"/>
      <c r="GZ698" s="10"/>
      <c r="HA698" s="10"/>
      <c r="HB698" s="10"/>
      <c r="HC698" s="10"/>
      <c r="HD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/>
      <c r="GQ699" s="10"/>
      <c r="GR699" s="10"/>
      <c r="GS699" s="10"/>
      <c r="GT699" s="10"/>
      <c r="GU699" s="10"/>
      <c r="GV699" s="10"/>
      <c r="GW699" s="10"/>
      <c r="GX699" s="10"/>
      <c r="GY699" s="10"/>
      <c r="GZ699" s="10"/>
      <c r="HA699" s="10"/>
      <c r="HB699" s="10"/>
      <c r="HC699" s="10"/>
      <c r="HD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/>
      <c r="GQ700" s="10"/>
      <c r="GR700" s="10"/>
      <c r="GS700" s="10"/>
      <c r="GT700" s="10"/>
      <c r="GU700" s="10"/>
      <c r="GV700" s="10"/>
      <c r="GW700" s="10"/>
      <c r="GX700" s="10"/>
      <c r="GY700" s="10"/>
      <c r="GZ700" s="10"/>
      <c r="HA700" s="10"/>
      <c r="HB700" s="10"/>
      <c r="HC700" s="10"/>
      <c r="HD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  <c r="EL701" s="10"/>
      <c r="EM701" s="10"/>
      <c r="EN701" s="10"/>
      <c r="EO701" s="10"/>
      <c r="EP701" s="10"/>
      <c r="EQ701" s="10"/>
      <c r="ER701" s="10"/>
      <c r="ES701" s="10"/>
      <c r="ET701" s="10"/>
      <c r="EU701" s="10"/>
      <c r="EV701" s="10"/>
      <c r="EW701" s="10"/>
      <c r="EX701" s="10"/>
      <c r="EY701" s="10"/>
      <c r="EZ701" s="10"/>
      <c r="FA701" s="10"/>
      <c r="FB701" s="10"/>
      <c r="FC701" s="10"/>
      <c r="FD701" s="10"/>
      <c r="FE701" s="10"/>
      <c r="FF701" s="10"/>
      <c r="FG701" s="10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/>
      <c r="GH701" s="10"/>
      <c r="GI701" s="10"/>
      <c r="GJ701" s="10"/>
      <c r="GK701" s="10"/>
      <c r="GL701" s="10"/>
      <c r="GM701" s="10"/>
      <c r="GN701" s="10"/>
      <c r="GO701" s="10"/>
      <c r="GP701" s="10"/>
      <c r="GQ701" s="10"/>
      <c r="GR701" s="10"/>
      <c r="GS701" s="10"/>
      <c r="GT701" s="10"/>
      <c r="GU701" s="10"/>
      <c r="GV701" s="10"/>
      <c r="GW701" s="10"/>
      <c r="GX701" s="10"/>
      <c r="GY701" s="10"/>
      <c r="GZ701" s="10"/>
      <c r="HA701" s="10"/>
      <c r="HB701" s="10"/>
      <c r="HC701" s="10"/>
      <c r="HD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0"/>
      <c r="GZ702" s="10"/>
      <c r="HA702" s="10"/>
      <c r="HB702" s="10"/>
      <c r="HC702" s="10"/>
      <c r="HD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/>
      <c r="GQ703" s="10"/>
      <c r="GR703" s="10"/>
      <c r="GS703" s="10"/>
      <c r="GT703" s="10"/>
      <c r="GU703" s="10"/>
      <c r="GV703" s="10"/>
      <c r="GW703" s="10"/>
      <c r="GX703" s="10"/>
      <c r="GY703" s="10"/>
      <c r="GZ703" s="10"/>
      <c r="HA703" s="10"/>
      <c r="HB703" s="10"/>
      <c r="HC703" s="10"/>
      <c r="HD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/>
      <c r="GQ704" s="10"/>
      <c r="GR704" s="10"/>
      <c r="GS704" s="10"/>
      <c r="GT704" s="10"/>
      <c r="GU704" s="10"/>
      <c r="GV704" s="10"/>
      <c r="GW704" s="10"/>
      <c r="GX704" s="10"/>
      <c r="GY704" s="10"/>
      <c r="GZ704" s="10"/>
      <c r="HA704" s="10"/>
      <c r="HB704" s="10"/>
      <c r="HC704" s="10"/>
      <c r="HD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0"/>
      <c r="GZ705" s="10"/>
      <c r="HA705" s="10"/>
      <c r="HB705" s="10"/>
      <c r="HC705" s="10"/>
      <c r="HD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/>
      <c r="GQ706" s="10"/>
      <c r="GR706" s="10"/>
      <c r="GS706" s="10"/>
      <c r="GT706" s="10"/>
      <c r="GU706" s="10"/>
      <c r="GV706" s="10"/>
      <c r="GW706" s="10"/>
      <c r="GX706" s="10"/>
      <c r="GY706" s="10"/>
      <c r="GZ706" s="10"/>
      <c r="HA706" s="10"/>
      <c r="HB706" s="10"/>
      <c r="HC706" s="10"/>
      <c r="HD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/>
      <c r="GQ707" s="10"/>
      <c r="GR707" s="10"/>
      <c r="GS707" s="10"/>
      <c r="GT707" s="10"/>
      <c r="GU707" s="10"/>
      <c r="GV707" s="10"/>
      <c r="GW707" s="10"/>
      <c r="GX707" s="10"/>
      <c r="GY707" s="10"/>
      <c r="GZ707" s="10"/>
      <c r="HA707" s="10"/>
      <c r="HB707" s="10"/>
      <c r="HC707" s="10"/>
      <c r="HD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/>
      <c r="GQ708" s="10"/>
      <c r="GR708" s="10"/>
      <c r="GS708" s="10"/>
      <c r="GT708" s="10"/>
      <c r="GU708" s="10"/>
      <c r="GV708" s="10"/>
      <c r="GW708" s="10"/>
      <c r="GX708" s="10"/>
      <c r="GY708" s="10"/>
      <c r="GZ708" s="10"/>
      <c r="HA708" s="10"/>
      <c r="HB708" s="10"/>
      <c r="HC708" s="10"/>
      <c r="HD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/>
      <c r="GQ709" s="10"/>
      <c r="GR709" s="10"/>
      <c r="GS709" s="10"/>
      <c r="GT709" s="10"/>
      <c r="GU709" s="10"/>
      <c r="GV709" s="10"/>
      <c r="GW709" s="10"/>
      <c r="GX709" s="10"/>
      <c r="GY709" s="10"/>
      <c r="GZ709" s="10"/>
      <c r="HA709" s="10"/>
      <c r="HB709" s="10"/>
      <c r="HC709" s="10"/>
      <c r="HD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/>
      <c r="GQ710" s="10"/>
      <c r="GR710" s="10"/>
      <c r="GS710" s="10"/>
      <c r="GT710" s="10"/>
      <c r="GU710" s="10"/>
      <c r="GV710" s="10"/>
      <c r="GW710" s="10"/>
      <c r="GX710" s="10"/>
      <c r="GY710" s="10"/>
      <c r="GZ710" s="10"/>
      <c r="HA710" s="10"/>
      <c r="HB710" s="10"/>
      <c r="HC710" s="10"/>
      <c r="HD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/>
      <c r="GQ711" s="10"/>
      <c r="GR711" s="10"/>
      <c r="GS711" s="10"/>
      <c r="GT711" s="10"/>
      <c r="GU711" s="10"/>
      <c r="GV711" s="10"/>
      <c r="GW711" s="10"/>
      <c r="GX711" s="10"/>
      <c r="GY711" s="10"/>
      <c r="GZ711" s="10"/>
      <c r="HA711" s="10"/>
      <c r="HB711" s="10"/>
      <c r="HC711" s="10"/>
      <c r="HD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/>
      <c r="GQ712" s="10"/>
      <c r="GR712" s="10"/>
      <c r="GS712" s="10"/>
      <c r="GT712" s="10"/>
      <c r="GU712" s="10"/>
      <c r="GV712" s="10"/>
      <c r="GW712" s="10"/>
      <c r="GX712" s="10"/>
      <c r="GY712" s="10"/>
      <c r="GZ712" s="10"/>
      <c r="HA712" s="10"/>
      <c r="HB712" s="10"/>
      <c r="HC712" s="10"/>
      <c r="HD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  <c r="EL713" s="10"/>
      <c r="EM713" s="10"/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/>
      <c r="GQ713" s="10"/>
      <c r="GR713" s="10"/>
      <c r="GS713" s="10"/>
      <c r="GT713" s="10"/>
      <c r="GU713" s="10"/>
      <c r="GV713" s="10"/>
      <c r="GW713" s="10"/>
      <c r="GX713" s="10"/>
      <c r="GY713" s="10"/>
      <c r="GZ713" s="10"/>
      <c r="HA713" s="10"/>
      <c r="HB713" s="10"/>
      <c r="HC713" s="10"/>
      <c r="HD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/>
      <c r="GQ714" s="10"/>
      <c r="GR714" s="10"/>
      <c r="GS714" s="10"/>
      <c r="GT714" s="10"/>
      <c r="GU714" s="10"/>
      <c r="GV714" s="10"/>
      <c r="GW714" s="10"/>
      <c r="GX714" s="10"/>
      <c r="GY714" s="10"/>
      <c r="GZ714" s="10"/>
      <c r="HA714" s="10"/>
      <c r="HB714" s="10"/>
      <c r="HC714" s="10"/>
      <c r="HD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/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/>
      <c r="GQ715" s="10"/>
      <c r="GR715" s="10"/>
      <c r="GS715" s="10"/>
      <c r="GT715" s="10"/>
      <c r="GU715" s="10"/>
      <c r="GV715" s="10"/>
      <c r="GW715" s="10"/>
      <c r="GX715" s="10"/>
      <c r="GY715" s="10"/>
      <c r="GZ715" s="10"/>
      <c r="HA715" s="10"/>
      <c r="HB715" s="10"/>
      <c r="HC715" s="10"/>
      <c r="HD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0"/>
      <c r="GZ716" s="10"/>
      <c r="HA716" s="10"/>
      <c r="HB716" s="10"/>
      <c r="HC716" s="10"/>
      <c r="HD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/>
      <c r="GQ717" s="10"/>
      <c r="GR717" s="10"/>
      <c r="GS717" s="10"/>
      <c r="GT717" s="10"/>
      <c r="GU717" s="10"/>
      <c r="GV717" s="10"/>
      <c r="GW717" s="10"/>
      <c r="GX717" s="10"/>
      <c r="GY717" s="10"/>
      <c r="GZ717" s="10"/>
      <c r="HA717" s="10"/>
      <c r="HB717" s="10"/>
      <c r="HC717" s="10"/>
      <c r="HD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/>
      <c r="GQ718" s="10"/>
      <c r="GR718" s="10"/>
      <c r="GS718" s="10"/>
      <c r="GT718" s="10"/>
      <c r="GU718" s="10"/>
      <c r="GV718" s="10"/>
      <c r="GW718" s="10"/>
      <c r="GX718" s="10"/>
      <c r="GY718" s="10"/>
      <c r="GZ718" s="10"/>
      <c r="HA718" s="10"/>
      <c r="HB718" s="10"/>
      <c r="HC718" s="10"/>
      <c r="HD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/>
      <c r="GQ719" s="10"/>
      <c r="GR719" s="10"/>
      <c r="GS719" s="10"/>
      <c r="GT719" s="10"/>
      <c r="GU719" s="10"/>
      <c r="GV719" s="10"/>
      <c r="GW719" s="10"/>
      <c r="GX719" s="10"/>
      <c r="GY719" s="10"/>
      <c r="GZ719" s="10"/>
      <c r="HA719" s="10"/>
      <c r="HB719" s="10"/>
      <c r="HC719" s="10"/>
      <c r="HD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/>
      <c r="GQ720" s="10"/>
      <c r="GR720" s="10"/>
      <c r="GS720" s="10"/>
      <c r="GT720" s="10"/>
      <c r="GU720" s="10"/>
      <c r="GV720" s="10"/>
      <c r="GW720" s="10"/>
      <c r="GX720" s="10"/>
      <c r="GY720" s="10"/>
      <c r="GZ720" s="10"/>
      <c r="HA720" s="10"/>
      <c r="HB720" s="10"/>
      <c r="HC720" s="10"/>
      <c r="HD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/>
      <c r="GQ721" s="10"/>
      <c r="GR721" s="10"/>
      <c r="GS721" s="10"/>
      <c r="GT721" s="10"/>
      <c r="GU721" s="10"/>
      <c r="GV721" s="10"/>
      <c r="GW721" s="10"/>
      <c r="GX721" s="10"/>
      <c r="GY721" s="10"/>
      <c r="GZ721" s="10"/>
      <c r="HA721" s="10"/>
      <c r="HB721" s="10"/>
      <c r="HC721" s="10"/>
      <c r="HD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/>
      <c r="GQ722" s="10"/>
      <c r="GR722" s="10"/>
      <c r="GS722" s="10"/>
      <c r="GT722" s="10"/>
      <c r="GU722" s="10"/>
      <c r="GV722" s="10"/>
      <c r="GW722" s="10"/>
      <c r="GX722" s="10"/>
      <c r="GY722" s="10"/>
      <c r="GZ722" s="10"/>
      <c r="HA722" s="10"/>
      <c r="HB722" s="10"/>
      <c r="HC722" s="10"/>
      <c r="HD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/>
      <c r="GQ723" s="10"/>
      <c r="GR723" s="10"/>
      <c r="GS723" s="10"/>
      <c r="GT723" s="10"/>
      <c r="GU723" s="10"/>
      <c r="GV723" s="10"/>
      <c r="GW723" s="10"/>
      <c r="GX723" s="10"/>
      <c r="GY723" s="10"/>
      <c r="GZ723" s="10"/>
      <c r="HA723" s="10"/>
      <c r="HB723" s="10"/>
      <c r="HC723" s="10"/>
      <c r="HD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/>
      <c r="GQ724" s="10"/>
      <c r="GR724" s="10"/>
      <c r="GS724" s="10"/>
      <c r="GT724" s="10"/>
      <c r="GU724" s="10"/>
      <c r="GV724" s="10"/>
      <c r="GW724" s="10"/>
      <c r="GX724" s="10"/>
      <c r="GY724" s="10"/>
      <c r="GZ724" s="10"/>
      <c r="HA724" s="10"/>
      <c r="HB724" s="10"/>
      <c r="HC724" s="10"/>
      <c r="HD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/>
      <c r="GH725" s="10"/>
      <c r="GI725" s="10"/>
      <c r="GJ725" s="10"/>
      <c r="GK725" s="10"/>
      <c r="GL725" s="10"/>
      <c r="GM725" s="10"/>
      <c r="GN725" s="10"/>
      <c r="GO725" s="10"/>
      <c r="GP725" s="10"/>
      <c r="GQ725" s="10"/>
      <c r="GR725" s="10"/>
      <c r="GS725" s="10"/>
      <c r="GT725" s="10"/>
      <c r="GU725" s="10"/>
      <c r="GV725" s="10"/>
      <c r="GW725" s="10"/>
      <c r="GX725" s="10"/>
      <c r="GY725" s="10"/>
      <c r="GZ725" s="10"/>
      <c r="HA725" s="10"/>
      <c r="HB725" s="10"/>
      <c r="HC725" s="10"/>
      <c r="HD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/>
      <c r="GQ726" s="10"/>
      <c r="GR726" s="10"/>
      <c r="GS726" s="10"/>
      <c r="GT726" s="10"/>
      <c r="GU726" s="10"/>
      <c r="GV726" s="10"/>
      <c r="GW726" s="10"/>
      <c r="GX726" s="10"/>
      <c r="GY726" s="10"/>
      <c r="GZ726" s="10"/>
      <c r="HA726" s="10"/>
      <c r="HB726" s="10"/>
      <c r="HC726" s="10"/>
      <c r="HD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/>
      <c r="GQ727" s="10"/>
      <c r="GR727" s="10"/>
      <c r="GS727" s="10"/>
      <c r="GT727" s="10"/>
      <c r="GU727" s="10"/>
      <c r="GV727" s="10"/>
      <c r="GW727" s="10"/>
      <c r="GX727" s="10"/>
      <c r="GY727" s="10"/>
      <c r="GZ727" s="10"/>
      <c r="HA727" s="10"/>
      <c r="HB727" s="10"/>
      <c r="HC727" s="10"/>
      <c r="HD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/>
      <c r="GQ728" s="10"/>
      <c r="GR728" s="10"/>
      <c r="GS728" s="10"/>
      <c r="GT728" s="10"/>
      <c r="GU728" s="10"/>
      <c r="GV728" s="10"/>
      <c r="GW728" s="10"/>
      <c r="GX728" s="10"/>
      <c r="GY728" s="10"/>
      <c r="GZ728" s="10"/>
      <c r="HA728" s="10"/>
      <c r="HB728" s="10"/>
      <c r="HC728" s="10"/>
      <c r="HD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/>
      <c r="GQ729" s="10"/>
      <c r="GR729" s="10"/>
      <c r="GS729" s="10"/>
      <c r="GT729" s="10"/>
      <c r="GU729" s="10"/>
      <c r="GV729" s="10"/>
      <c r="GW729" s="10"/>
      <c r="GX729" s="10"/>
      <c r="GY729" s="10"/>
      <c r="GZ729" s="10"/>
      <c r="HA729" s="10"/>
      <c r="HB729" s="10"/>
      <c r="HC729" s="10"/>
      <c r="HD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/>
      <c r="GQ730" s="10"/>
      <c r="GR730" s="10"/>
      <c r="GS730" s="10"/>
      <c r="GT730" s="10"/>
      <c r="GU730" s="10"/>
      <c r="GV730" s="10"/>
      <c r="GW730" s="10"/>
      <c r="GX730" s="10"/>
      <c r="GY730" s="10"/>
      <c r="GZ730" s="10"/>
      <c r="HA730" s="10"/>
      <c r="HB730" s="10"/>
      <c r="HC730" s="10"/>
      <c r="HD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/>
      <c r="GQ731" s="10"/>
      <c r="GR731" s="10"/>
      <c r="GS731" s="10"/>
      <c r="GT731" s="10"/>
      <c r="GU731" s="10"/>
      <c r="GV731" s="10"/>
      <c r="GW731" s="10"/>
      <c r="GX731" s="10"/>
      <c r="GY731" s="10"/>
      <c r="GZ731" s="10"/>
      <c r="HA731" s="10"/>
      <c r="HB731" s="10"/>
      <c r="HC731" s="10"/>
      <c r="HD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/>
      <c r="GH732" s="10"/>
      <c r="GI732" s="10"/>
      <c r="GJ732" s="10"/>
      <c r="GK732" s="10"/>
      <c r="GL732" s="10"/>
      <c r="GM732" s="10"/>
      <c r="GN732" s="10"/>
      <c r="GO732" s="10"/>
      <c r="GP732" s="10"/>
      <c r="GQ732" s="10"/>
      <c r="GR732" s="10"/>
      <c r="GS732" s="10"/>
      <c r="GT732" s="10"/>
      <c r="GU732" s="10"/>
      <c r="GV732" s="10"/>
      <c r="GW732" s="10"/>
      <c r="GX732" s="10"/>
      <c r="GY732" s="10"/>
      <c r="GZ732" s="10"/>
      <c r="HA732" s="10"/>
      <c r="HB732" s="10"/>
      <c r="HC732" s="10"/>
      <c r="HD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/>
      <c r="GQ733" s="10"/>
      <c r="GR733" s="10"/>
      <c r="GS733" s="10"/>
      <c r="GT733" s="10"/>
      <c r="GU733" s="10"/>
      <c r="GV733" s="10"/>
      <c r="GW733" s="10"/>
      <c r="GX733" s="10"/>
      <c r="GY733" s="10"/>
      <c r="GZ733" s="10"/>
      <c r="HA733" s="10"/>
      <c r="HB733" s="10"/>
      <c r="HC733" s="10"/>
      <c r="HD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/>
      <c r="GQ734" s="10"/>
      <c r="GR734" s="10"/>
      <c r="GS734" s="10"/>
      <c r="GT734" s="10"/>
      <c r="GU734" s="10"/>
      <c r="GV734" s="10"/>
      <c r="GW734" s="10"/>
      <c r="GX734" s="10"/>
      <c r="GY734" s="10"/>
      <c r="GZ734" s="10"/>
      <c r="HA734" s="10"/>
      <c r="HB734" s="10"/>
      <c r="HC734" s="10"/>
      <c r="HD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/>
      <c r="GQ735" s="10"/>
      <c r="GR735" s="10"/>
      <c r="GS735" s="10"/>
      <c r="GT735" s="10"/>
      <c r="GU735" s="10"/>
      <c r="GV735" s="10"/>
      <c r="GW735" s="10"/>
      <c r="GX735" s="10"/>
      <c r="GY735" s="10"/>
      <c r="GZ735" s="10"/>
      <c r="HA735" s="10"/>
      <c r="HB735" s="10"/>
      <c r="HC735" s="10"/>
      <c r="HD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/>
      <c r="GQ736" s="10"/>
      <c r="GR736" s="10"/>
      <c r="GS736" s="10"/>
      <c r="GT736" s="10"/>
      <c r="GU736" s="10"/>
      <c r="GV736" s="10"/>
      <c r="GW736" s="10"/>
      <c r="GX736" s="10"/>
      <c r="GY736" s="10"/>
      <c r="GZ736" s="10"/>
      <c r="HA736" s="10"/>
      <c r="HB736" s="10"/>
      <c r="HC736" s="10"/>
      <c r="HD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/>
      <c r="GQ737" s="10"/>
      <c r="GR737" s="10"/>
      <c r="GS737" s="10"/>
      <c r="GT737" s="10"/>
      <c r="GU737" s="10"/>
      <c r="GV737" s="10"/>
      <c r="GW737" s="10"/>
      <c r="GX737" s="10"/>
      <c r="GY737" s="10"/>
      <c r="GZ737" s="10"/>
      <c r="HA737" s="10"/>
      <c r="HB737" s="10"/>
      <c r="HC737" s="10"/>
      <c r="HD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/>
      <c r="GQ738" s="10"/>
      <c r="GR738" s="10"/>
      <c r="GS738" s="10"/>
      <c r="GT738" s="10"/>
      <c r="GU738" s="10"/>
      <c r="GV738" s="10"/>
      <c r="GW738" s="10"/>
      <c r="GX738" s="10"/>
      <c r="GY738" s="10"/>
      <c r="GZ738" s="10"/>
      <c r="HA738" s="10"/>
      <c r="HB738" s="10"/>
      <c r="HC738" s="10"/>
      <c r="HD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/>
      <c r="GQ739" s="10"/>
      <c r="GR739" s="10"/>
      <c r="GS739" s="10"/>
      <c r="GT739" s="10"/>
      <c r="GU739" s="10"/>
      <c r="GV739" s="10"/>
      <c r="GW739" s="10"/>
      <c r="GX739" s="10"/>
      <c r="GY739" s="10"/>
      <c r="GZ739" s="10"/>
      <c r="HA739" s="10"/>
      <c r="HB739" s="10"/>
      <c r="HC739" s="10"/>
      <c r="HD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/>
      <c r="GQ740" s="10"/>
      <c r="GR740" s="10"/>
      <c r="GS740" s="10"/>
      <c r="GT740" s="10"/>
      <c r="GU740" s="10"/>
      <c r="GV740" s="10"/>
      <c r="GW740" s="10"/>
      <c r="GX740" s="10"/>
      <c r="GY740" s="10"/>
      <c r="GZ740" s="10"/>
      <c r="HA740" s="10"/>
      <c r="HB740" s="10"/>
      <c r="HC740" s="10"/>
      <c r="HD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/>
      <c r="GQ741" s="10"/>
      <c r="GR741" s="10"/>
      <c r="GS741" s="10"/>
      <c r="GT741" s="10"/>
      <c r="GU741" s="10"/>
      <c r="GV741" s="10"/>
      <c r="GW741" s="10"/>
      <c r="GX741" s="10"/>
      <c r="GY741" s="10"/>
      <c r="GZ741" s="10"/>
      <c r="HA741" s="10"/>
      <c r="HB741" s="10"/>
      <c r="HC741" s="10"/>
      <c r="HD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/>
      <c r="GQ742" s="10"/>
      <c r="GR742" s="10"/>
      <c r="GS742" s="10"/>
      <c r="GT742" s="10"/>
      <c r="GU742" s="10"/>
      <c r="GV742" s="10"/>
      <c r="GW742" s="10"/>
      <c r="GX742" s="10"/>
      <c r="GY742" s="10"/>
      <c r="GZ742" s="10"/>
      <c r="HA742" s="10"/>
      <c r="HB742" s="10"/>
      <c r="HC742" s="10"/>
      <c r="HD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/>
      <c r="GQ743" s="10"/>
      <c r="GR743" s="10"/>
      <c r="GS743" s="10"/>
      <c r="GT743" s="10"/>
      <c r="GU743" s="10"/>
      <c r="GV743" s="10"/>
      <c r="GW743" s="10"/>
      <c r="GX743" s="10"/>
      <c r="GY743" s="10"/>
      <c r="GZ743" s="10"/>
      <c r="HA743" s="10"/>
      <c r="HB743" s="10"/>
      <c r="HC743" s="10"/>
      <c r="HD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/>
      <c r="GQ744" s="10"/>
      <c r="GR744" s="10"/>
      <c r="GS744" s="10"/>
      <c r="GT744" s="10"/>
      <c r="GU744" s="10"/>
      <c r="GV744" s="10"/>
      <c r="GW744" s="10"/>
      <c r="GX744" s="10"/>
      <c r="GY744" s="10"/>
      <c r="GZ744" s="10"/>
      <c r="HA744" s="10"/>
      <c r="HB744" s="10"/>
      <c r="HC744" s="10"/>
      <c r="HD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/>
      <c r="GQ745" s="10"/>
      <c r="GR745" s="10"/>
      <c r="GS745" s="10"/>
      <c r="GT745" s="10"/>
      <c r="GU745" s="10"/>
      <c r="GV745" s="10"/>
      <c r="GW745" s="10"/>
      <c r="GX745" s="10"/>
      <c r="GY745" s="10"/>
      <c r="GZ745" s="10"/>
      <c r="HA745" s="10"/>
      <c r="HB745" s="10"/>
      <c r="HC745" s="10"/>
      <c r="HD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/>
      <c r="GQ746" s="10"/>
      <c r="GR746" s="10"/>
      <c r="GS746" s="10"/>
      <c r="GT746" s="10"/>
      <c r="GU746" s="10"/>
      <c r="GV746" s="10"/>
      <c r="GW746" s="10"/>
      <c r="GX746" s="10"/>
      <c r="GY746" s="10"/>
      <c r="GZ746" s="10"/>
      <c r="HA746" s="10"/>
      <c r="HB746" s="10"/>
      <c r="HC746" s="10"/>
      <c r="HD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/>
      <c r="GQ747" s="10"/>
      <c r="GR747" s="10"/>
      <c r="GS747" s="10"/>
      <c r="GT747" s="10"/>
      <c r="GU747" s="10"/>
      <c r="GV747" s="10"/>
      <c r="GW747" s="10"/>
      <c r="GX747" s="10"/>
      <c r="GY747" s="10"/>
      <c r="GZ747" s="10"/>
      <c r="HA747" s="10"/>
      <c r="HB747" s="10"/>
      <c r="HC747" s="10"/>
      <c r="HD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/>
      <c r="GQ748" s="10"/>
      <c r="GR748" s="10"/>
      <c r="GS748" s="10"/>
      <c r="GT748" s="10"/>
      <c r="GU748" s="10"/>
      <c r="GV748" s="10"/>
      <c r="GW748" s="10"/>
      <c r="GX748" s="10"/>
      <c r="GY748" s="10"/>
      <c r="GZ748" s="10"/>
      <c r="HA748" s="10"/>
      <c r="HB748" s="10"/>
      <c r="HC748" s="10"/>
      <c r="HD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/>
      <c r="GQ749" s="10"/>
      <c r="GR749" s="10"/>
      <c r="GS749" s="10"/>
      <c r="GT749" s="10"/>
      <c r="GU749" s="10"/>
      <c r="GV749" s="10"/>
      <c r="GW749" s="10"/>
      <c r="GX749" s="10"/>
      <c r="GY749" s="10"/>
      <c r="GZ749" s="10"/>
      <c r="HA749" s="10"/>
      <c r="HB749" s="10"/>
      <c r="HC749" s="10"/>
      <c r="HD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/>
      <c r="GQ750" s="10"/>
      <c r="GR750" s="10"/>
      <c r="GS750" s="10"/>
      <c r="GT750" s="10"/>
      <c r="GU750" s="10"/>
      <c r="GV750" s="10"/>
      <c r="GW750" s="10"/>
      <c r="GX750" s="10"/>
      <c r="GY750" s="10"/>
      <c r="GZ750" s="10"/>
      <c r="HA750" s="10"/>
      <c r="HB750" s="10"/>
      <c r="HC750" s="10"/>
      <c r="HD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/>
      <c r="GQ751" s="10"/>
      <c r="GR751" s="10"/>
      <c r="GS751" s="10"/>
      <c r="GT751" s="10"/>
      <c r="GU751" s="10"/>
      <c r="GV751" s="10"/>
      <c r="GW751" s="10"/>
      <c r="GX751" s="10"/>
      <c r="GY751" s="10"/>
      <c r="GZ751" s="10"/>
      <c r="HA751" s="10"/>
      <c r="HB751" s="10"/>
      <c r="HC751" s="10"/>
      <c r="HD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/>
      <c r="GQ752" s="10"/>
      <c r="GR752" s="10"/>
      <c r="GS752" s="10"/>
      <c r="GT752" s="10"/>
      <c r="GU752" s="10"/>
      <c r="GV752" s="10"/>
      <c r="GW752" s="10"/>
      <c r="GX752" s="10"/>
      <c r="GY752" s="10"/>
      <c r="GZ752" s="10"/>
      <c r="HA752" s="10"/>
      <c r="HB752" s="10"/>
      <c r="HC752" s="10"/>
      <c r="HD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/>
      <c r="GQ753" s="10"/>
      <c r="GR753" s="10"/>
      <c r="GS753" s="10"/>
      <c r="GT753" s="10"/>
      <c r="GU753" s="10"/>
      <c r="GV753" s="10"/>
      <c r="GW753" s="10"/>
      <c r="GX753" s="10"/>
      <c r="GY753" s="10"/>
      <c r="GZ753" s="10"/>
      <c r="HA753" s="10"/>
      <c r="HB753" s="10"/>
      <c r="HC753" s="10"/>
      <c r="HD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/>
      <c r="GQ754" s="10"/>
      <c r="GR754" s="10"/>
      <c r="GS754" s="10"/>
      <c r="GT754" s="10"/>
      <c r="GU754" s="10"/>
      <c r="GV754" s="10"/>
      <c r="GW754" s="10"/>
      <c r="GX754" s="10"/>
      <c r="GY754" s="10"/>
      <c r="GZ754" s="10"/>
      <c r="HA754" s="10"/>
      <c r="HB754" s="10"/>
      <c r="HC754" s="10"/>
      <c r="HD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/>
      <c r="GQ755" s="10"/>
      <c r="GR755" s="10"/>
      <c r="GS755" s="10"/>
      <c r="GT755" s="10"/>
      <c r="GU755" s="10"/>
      <c r="GV755" s="10"/>
      <c r="GW755" s="10"/>
      <c r="GX755" s="10"/>
      <c r="GY755" s="10"/>
      <c r="GZ755" s="10"/>
      <c r="HA755" s="10"/>
      <c r="HB755" s="10"/>
      <c r="HC755" s="10"/>
      <c r="HD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/>
      <c r="GQ756" s="10"/>
      <c r="GR756" s="10"/>
      <c r="GS756" s="10"/>
      <c r="GT756" s="10"/>
      <c r="GU756" s="10"/>
      <c r="GV756" s="10"/>
      <c r="GW756" s="10"/>
      <c r="GX756" s="10"/>
      <c r="GY756" s="10"/>
      <c r="GZ756" s="10"/>
      <c r="HA756" s="10"/>
      <c r="HB756" s="10"/>
      <c r="HC756" s="10"/>
      <c r="HD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/>
      <c r="GQ757" s="10"/>
      <c r="GR757" s="10"/>
      <c r="GS757" s="10"/>
      <c r="GT757" s="10"/>
      <c r="GU757" s="10"/>
      <c r="GV757" s="10"/>
      <c r="GW757" s="10"/>
      <c r="GX757" s="10"/>
      <c r="GY757" s="10"/>
      <c r="GZ757" s="10"/>
      <c r="HA757" s="10"/>
      <c r="HB757" s="10"/>
      <c r="HC757" s="10"/>
      <c r="HD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/>
      <c r="GQ758" s="10"/>
      <c r="GR758" s="10"/>
      <c r="GS758" s="10"/>
      <c r="GT758" s="10"/>
      <c r="GU758" s="10"/>
      <c r="GV758" s="10"/>
      <c r="GW758" s="10"/>
      <c r="GX758" s="10"/>
      <c r="GY758" s="10"/>
      <c r="GZ758" s="10"/>
      <c r="HA758" s="10"/>
      <c r="HB758" s="10"/>
      <c r="HC758" s="10"/>
      <c r="HD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/>
      <c r="GQ759" s="10"/>
      <c r="GR759" s="10"/>
      <c r="GS759" s="10"/>
      <c r="GT759" s="10"/>
      <c r="GU759" s="10"/>
      <c r="GV759" s="10"/>
      <c r="GW759" s="10"/>
      <c r="GX759" s="10"/>
      <c r="GY759" s="10"/>
      <c r="GZ759" s="10"/>
      <c r="HA759" s="10"/>
      <c r="HB759" s="10"/>
      <c r="HC759" s="10"/>
      <c r="HD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/>
      <c r="GQ760" s="10"/>
      <c r="GR760" s="10"/>
      <c r="GS760" s="10"/>
      <c r="GT760" s="10"/>
      <c r="GU760" s="10"/>
      <c r="GV760" s="10"/>
      <c r="GW760" s="10"/>
      <c r="GX760" s="10"/>
      <c r="GY760" s="10"/>
      <c r="GZ760" s="10"/>
      <c r="HA760" s="10"/>
      <c r="HB760" s="10"/>
      <c r="HC760" s="10"/>
      <c r="HD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  <c r="EL761" s="10"/>
      <c r="EM761" s="10"/>
      <c r="EN761" s="10"/>
      <c r="EO761" s="10"/>
      <c r="EP761" s="10"/>
      <c r="EQ761" s="10"/>
      <c r="ER761" s="10"/>
      <c r="ES761" s="10"/>
      <c r="ET761" s="10"/>
      <c r="EU761" s="10"/>
      <c r="EV761" s="10"/>
      <c r="EW761" s="10"/>
      <c r="EX761" s="10"/>
      <c r="EY761" s="10"/>
      <c r="EZ761" s="10"/>
      <c r="FA761" s="10"/>
      <c r="FB761" s="10"/>
      <c r="FC761" s="10"/>
      <c r="FD761" s="10"/>
      <c r="FE761" s="10"/>
      <c r="FF761" s="10"/>
      <c r="FG761" s="10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/>
      <c r="GH761" s="10"/>
      <c r="GI761" s="10"/>
      <c r="GJ761" s="10"/>
      <c r="GK761" s="10"/>
      <c r="GL761" s="10"/>
      <c r="GM761" s="10"/>
      <c r="GN761" s="10"/>
      <c r="GO761" s="10"/>
      <c r="GP761" s="10"/>
      <c r="GQ761" s="10"/>
      <c r="GR761" s="10"/>
      <c r="GS761" s="10"/>
      <c r="GT761" s="10"/>
      <c r="GU761" s="10"/>
      <c r="GV761" s="10"/>
      <c r="GW761" s="10"/>
      <c r="GX761" s="10"/>
      <c r="GY761" s="10"/>
      <c r="GZ761" s="10"/>
      <c r="HA761" s="10"/>
      <c r="HB761" s="10"/>
      <c r="HC761" s="10"/>
      <c r="HD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/>
      <c r="GP762" s="10"/>
      <c r="GQ762" s="10"/>
      <c r="GR762" s="10"/>
      <c r="GS762" s="10"/>
      <c r="GT762" s="10"/>
      <c r="GU762" s="10"/>
      <c r="GV762" s="10"/>
      <c r="GW762" s="10"/>
      <c r="GX762" s="10"/>
      <c r="GY762" s="10"/>
      <c r="GZ762" s="10"/>
      <c r="HA762" s="10"/>
      <c r="HB762" s="10"/>
      <c r="HC762" s="10"/>
      <c r="HD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/>
      <c r="GP763" s="10"/>
      <c r="GQ763" s="10"/>
      <c r="GR763" s="10"/>
      <c r="GS763" s="10"/>
      <c r="GT763" s="10"/>
      <c r="GU763" s="10"/>
      <c r="GV763" s="10"/>
      <c r="GW763" s="10"/>
      <c r="GX763" s="10"/>
      <c r="GY763" s="10"/>
      <c r="GZ763" s="10"/>
      <c r="HA763" s="10"/>
      <c r="HB763" s="10"/>
      <c r="HC763" s="10"/>
      <c r="HD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/>
      <c r="GQ764" s="10"/>
      <c r="GR764" s="10"/>
      <c r="GS764" s="10"/>
      <c r="GT764" s="10"/>
      <c r="GU764" s="10"/>
      <c r="GV764" s="10"/>
      <c r="GW764" s="10"/>
      <c r="GX764" s="10"/>
      <c r="GY764" s="10"/>
      <c r="GZ764" s="10"/>
      <c r="HA764" s="10"/>
      <c r="HB764" s="10"/>
      <c r="HC764" s="10"/>
      <c r="HD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/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/>
      <c r="GQ765" s="10"/>
      <c r="GR765" s="10"/>
      <c r="GS765" s="10"/>
      <c r="GT765" s="10"/>
      <c r="GU765" s="10"/>
      <c r="GV765" s="10"/>
      <c r="GW765" s="10"/>
      <c r="GX765" s="10"/>
      <c r="GY765" s="10"/>
      <c r="GZ765" s="10"/>
      <c r="HA765" s="10"/>
      <c r="HB765" s="10"/>
      <c r="HC765" s="10"/>
      <c r="HD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  <c r="EL766" s="10"/>
      <c r="EM766" s="10"/>
      <c r="EN766" s="10"/>
      <c r="EO766" s="10"/>
      <c r="EP766" s="10"/>
      <c r="EQ766" s="10"/>
      <c r="ER766" s="10"/>
      <c r="ES766" s="10"/>
      <c r="ET766" s="10"/>
      <c r="EU766" s="10"/>
      <c r="EV766" s="10"/>
      <c r="EW766" s="10"/>
      <c r="EX766" s="10"/>
      <c r="EY766" s="10"/>
      <c r="EZ766" s="10"/>
      <c r="FA766" s="10"/>
      <c r="FB766" s="10"/>
      <c r="FC766" s="10"/>
      <c r="FD766" s="10"/>
      <c r="FE766" s="10"/>
      <c r="FF766" s="10"/>
      <c r="FG766" s="10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/>
      <c r="GP766" s="10"/>
      <c r="GQ766" s="10"/>
      <c r="GR766" s="10"/>
      <c r="GS766" s="10"/>
      <c r="GT766" s="10"/>
      <c r="GU766" s="10"/>
      <c r="GV766" s="10"/>
      <c r="GW766" s="10"/>
      <c r="GX766" s="10"/>
      <c r="GY766" s="10"/>
      <c r="GZ766" s="10"/>
      <c r="HA766" s="10"/>
      <c r="HB766" s="10"/>
      <c r="HC766" s="10"/>
      <c r="HD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  <c r="EL767" s="10"/>
      <c r="EM767" s="10"/>
      <c r="EN767" s="10"/>
      <c r="EO767" s="10"/>
      <c r="EP767" s="10"/>
      <c r="EQ767" s="10"/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/>
      <c r="GP767" s="10"/>
      <c r="GQ767" s="10"/>
      <c r="GR767" s="10"/>
      <c r="GS767" s="10"/>
      <c r="GT767" s="10"/>
      <c r="GU767" s="10"/>
      <c r="GV767" s="10"/>
      <c r="GW767" s="10"/>
      <c r="GX767" s="10"/>
      <c r="GY767" s="10"/>
      <c r="GZ767" s="10"/>
      <c r="HA767" s="10"/>
      <c r="HB767" s="10"/>
      <c r="HC767" s="10"/>
      <c r="HD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0"/>
      <c r="GZ768" s="10"/>
      <c r="HA768" s="10"/>
      <c r="HB768" s="10"/>
      <c r="HC768" s="10"/>
      <c r="HD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/>
      <c r="GQ769" s="10"/>
      <c r="GR769" s="10"/>
      <c r="GS769" s="10"/>
      <c r="GT769" s="10"/>
      <c r="GU769" s="10"/>
      <c r="GV769" s="10"/>
      <c r="GW769" s="10"/>
      <c r="GX769" s="10"/>
      <c r="GY769" s="10"/>
      <c r="GZ769" s="10"/>
      <c r="HA769" s="10"/>
      <c r="HB769" s="10"/>
      <c r="HC769" s="10"/>
      <c r="HD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/>
      <c r="GQ770" s="10"/>
      <c r="GR770" s="10"/>
      <c r="GS770" s="10"/>
      <c r="GT770" s="10"/>
      <c r="GU770" s="10"/>
      <c r="GV770" s="10"/>
      <c r="GW770" s="10"/>
      <c r="GX770" s="10"/>
      <c r="GY770" s="10"/>
      <c r="GZ770" s="10"/>
      <c r="HA770" s="10"/>
      <c r="HB770" s="10"/>
      <c r="HC770" s="10"/>
      <c r="HD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/>
      <c r="GQ771" s="10"/>
      <c r="GR771" s="10"/>
      <c r="GS771" s="10"/>
      <c r="GT771" s="10"/>
      <c r="GU771" s="10"/>
      <c r="GV771" s="10"/>
      <c r="GW771" s="10"/>
      <c r="GX771" s="10"/>
      <c r="GY771" s="10"/>
      <c r="GZ771" s="10"/>
      <c r="HA771" s="10"/>
      <c r="HB771" s="10"/>
      <c r="HC771" s="10"/>
      <c r="HD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/>
      <c r="GQ772" s="10"/>
      <c r="GR772" s="10"/>
      <c r="GS772" s="10"/>
      <c r="GT772" s="10"/>
      <c r="GU772" s="10"/>
      <c r="GV772" s="10"/>
      <c r="GW772" s="10"/>
      <c r="GX772" s="10"/>
      <c r="GY772" s="10"/>
      <c r="GZ772" s="10"/>
      <c r="HA772" s="10"/>
      <c r="HB772" s="10"/>
      <c r="HC772" s="10"/>
      <c r="HD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/>
      <c r="GQ773" s="10"/>
      <c r="GR773" s="10"/>
      <c r="GS773" s="10"/>
      <c r="GT773" s="10"/>
      <c r="GU773" s="10"/>
      <c r="GV773" s="10"/>
      <c r="GW773" s="10"/>
      <c r="GX773" s="10"/>
      <c r="GY773" s="10"/>
      <c r="GZ773" s="10"/>
      <c r="HA773" s="10"/>
      <c r="HB773" s="10"/>
      <c r="HC773" s="10"/>
      <c r="HD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/>
      <c r="GQ774" s="10"/>
      <c r="GR774" s="10"/>
      <c r="GS774" s="10"/>
      <c r="GT774" s="10"/>
      <c r="GU774" s="10"/>
      <c r="GV774" s="10"/>
      <c r="GW774" s="10"/>
      <c r="GX774" s="10"/>
      <c r="GY774" s="10"/>
      <c r="GZ774" s="10"/>
      <c r="HA774" s="10"/>
      <c r="HB774" s="10"/>
      <c r="HC774" s="10"/>
      <c r="HD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/>
      <c r="GQ775" s="10"/>
      <c r="GR775" s="10"/>
      <c r="GS775" s="10"/>
      <c r="GT775" s="10"/>
      <c r="GU775" s="10"/>
      <c r="GV775" s="10"/>
      <c r="GW775" s="10"/>
      <c r="GX775" s="10"/>
      <c r="GY775" s="10"/>
      <c r="GZ775" s="10"/>
      <c r="HA775" s="10"/>
      <c r="HB775" s="10"/>
      <c r="HC775" s="10"/>
      <c r="HD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/>
      <c r="GQ776" s="10"/>
      <c r="GR776" s="10"/>
      <c r="GS776" s="10"/>
      <c r="GT776" s="10"/>
      <c r="GU776" s="10"/>
      <c r="GV776" s="10"/>
      <c r="GW776" s="10"/>
      <c r="GX776" s="10"/>
      <c r="GY776" s="10"/>
      <c r="GZ776" s="10"/>
      <c r="HA776" s="10"/>
      <c r="HB776" s="10"/>
      <c r="HC776" s="10"/>
      <c r="HD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/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/>
      <c r="GQ777" s="10"/>
      <c r="GR777" s="10"/>
      <c r="GS777" s="10"/>
      <c r="GT777" s="10"/>
      <c r="GU777" s="10"/>
      <c r="GV777" s="10"/>
      <c r="GW777" s="10"/>
      <c r="GX777" s="10"/>
      <c r="GY777" s="10"/>
      <c r="GZ777" s="10"/>
      <c r="HA777" s="10"/>
      <c r="HB777" s="10"/>
      <c r="HC777" s="10"/>
      <c r="HD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/>
      <c r="GQ778" s="10"/>
      <c r="GR778" s="10"/>
      <c r="GS778" s="10"/>
      <c r="GT778" s="10"/>
      <c r="GU778" s="10"/>
      <c r="GV778" s="10"/>
      <c r="GW778" s="10"/>
      <c r="GX778" s="10"/>
      <c r="GY778" s="10"/>
      <c r="GZ778" s="10"/>
      <c r="HA778" s="10"/>
      <c r="HB778" s="10"/>
      <c r="HC778" s="10"/>
      <c r="HD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/>
      <c r="GQ779" s="10"/>
      <c r="GR779" s="10"/>
      <c r="GS779" s="10"/>
      <c r="GT779" s="10"/>
      <c r="GU779" s="10"/>
      <c r="GV779" s="10"/>
      <c r="GW779" s="10"/>
      <c r="GX779" s="10"/>
      <c r="GY779" s="10"/>
      <c r="GZ779" s="10"/>
      <c r="HA779" s="10"/>
      <c r="HB779" s="10"/>
      <c r="HC779" s="10"/>
      <c r="HD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/>
      <c r="GQ780" s="10"/>
      <c r="GR780" s="10"/>
      <c r="GS780" s="10"/>
      <c r="GT780" s="10"/>
      <c r="GU780" s="10"/>
      <c r="GV780" s="10"/>
      <c r="GW780" s="10"/>
      <c r="GX780" s="10"/>
      <c r="GY780" s="10"/>
      <c r="GZ780" s="10"/>
      <c r="HA780" s="10"/>
      <c r="HB780" s="10"/>
      <c r="HC780" s="10"/>
      <c r="HD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/>
      <c r="GQ781" s="10"/>
      <c r="GR781" s="10"/>
      <c r="GS781" s="10"/>
      <c r="GT781" s="10"/>
      <c r="GU781" s="10"/>
      <c r="GV781" s="10"/>
      <c r="GW781" s="10"/>
      <c r="GX781" s="10"/>
      <c r="GY781" s="10"/>
      <c r="GZ781" s="10"/>
      <c r="HA781" s="10"/>
      <c r="HB781" s="10"/>
      <c r="HC781" s="10"/>
      <c r="HD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/>
      <c r="GQ782" s="10"/>
      <c r="GR782" s="10"/>
      <c r="GS782" s="10"/>
      <c r="GT782" s="10"/>
      <c r="GU782" s="10"/>
      <c r="GV782" s="10"/>
      <c r="GW782" s="10"/>
      <c r="GX782" s="10"/>
      <c r="GY782" s="10"/>
      <c r="GZ782" s="10"/>
      <c r="HA782" s="10"/>
      <c r="HB782" s="10"/>
      <c r="HC782" s="10"/>
      <c r="HD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/>
      <c r="GH783" s="10"/>
      <c r="GI783" s="10"/>
      <c r="GJ783" s="10"/>
      <c r="GK783" s="10"/>
      <c r="GL783" s="10"/>
      <c r="GM783" s="10"/>
      <c r="GN783" s="10"/>
      <c r="GO783" s="10"/>
      <c r="GP783" s="10"/>
      <c r="GQ783" s="10"/>
      <c r="GR783" s="10"/>
      <c r="GS783" s="10"/>
      <c r="GT783" s="10"/>
      <c r="GU783" s="10"/>
      <c r="GV783" s="10"/>
      <c r="GW783" s="10"/>
      <c r="GX783" s="10"/>
      <c r="GY783" s="10"/>
      <c r="GZ783" s="10"/>
      <c r="HA783" s="10"/>
      <c r="HB783" s="10"/>
      <c r="HC783" s="10"/>
      <c r="HD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  <c r="GP784" s="10"/>
      <c r="GQ784" s="10"/>
      <c r="GR784" s="10"/>
      <c r="GS784" s="10"/>
      <c r="GT784" s="10"/>
      <c r="GU784" s="10"/>
      <c r="GV784" s="10"/>
      <c r="GW784" s="10"/>
      <c r="GX784" s="10"/>
      <c r="GY784" s="10"/>
      <c r="GZ784" s="10"/>
      <c r="HA784" s="10"/>
      <c r="HB784" s="10"/>
      <c r="HC784" s="10"/>
      <c r="HD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  <c r="GP785" s="10"/>
      <c r="GQ785" s="10"/>
      <c r="GR785" s="10"/>
      <c r="GS785" s="10"/>
      <c r="GT785" s="10"/>
      <c r="GU785" s="10"/>
      <c r="GV785" s="10"/>
      <c r="GW785" s="10"/>
      <c r="GX785" s="10"/>
      <c r="GY785" s="10"/>
      <c r="GZ785" s="10"/>
      <c r="HA785" s="10"/>
      <c r="HB785" s="10"/>
      <c r="HC785" s="10"/>
      <c r="HD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  <c r="GP786" s="10"/>
      <c r="GQ786" s="10"/>
      <c r="GR786" s="10"/>
      <c r="GS786" s="10"/>
      <c r="GT786" s="10"/>
      <c r="GU786" s="10"/>
      <c r="GV786" s="10"/>
      <c r="GW786" s="10"/>
      <c r="GX786" s="10"/>
      <c r="GY786" s="10"/>
      <c r="GZ786" s="10"/>
      <c r="HA786" s="10"/>
      <c r="HB786" s="10"/>
      <c r="HC786" s="10"/>
      <c r="HD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/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  <c r="GP787" s="10"/>
      <c r="GQ787" s="10"/>
      <c r="GR787" s="10"/>
      <c r="GS787" s="10"/>
      <c r="GT787" s="10"/>
      <c r="GU787" s="10"/>
      <c r="GV787" s="10"/>
      <c r="GW787" s="10"/>
      <c r="GX787" s="10"/>
      <c r="GY787" s="10"/>
      <c r="GZ787" s="10"/>
      <c r="HA787" s="10"/>
      <c r="HB787" s="10"/>
      <c r="HC787" s="10"/>
      <c r="HD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  <c r="GP788" s="10"/>
      <c r="GQ788" s="10"/>
      <c r="GR788" s="10"/>
      <c r="GS788" s="10"/>
      <c r="GT788" s="10"/>
      <c r="GU788" s="10"/>
      <c r="GV788" s="10"/>
      <c r="GW788" s="10"/>
      <c r="GX788" s="10"/>
      <c r="GY788" s="10"/>
      <c r="GZ788" s="10"/>
      <c r="HA788" s="10"/>
      <c r="HB788" s="10"/>
      <c r="HC788" s="10"/>
      <c r="HD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  <c r="GP789" s="10"/>
      <c r="GQ789" s="10"/>
      <c r="GR789" s="10"/>
      <c r="GS789" s="10"/>
      <c r="GT789" s="10"/>
      <c r="GU789" s="10"/>
      <c r="GV789" s="10"/>
      <c r="GW789" s="10"/>
      <c r="GX789" s="10"/>
      <c r="GY789" s="10"/>
      <c r="GZ789" s="10"/>
      <c r="HA789" s="10"/>
      <c r="HB789" s="10"/>
      <c r="HC789" s="10"/>
      <c r="HD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  <c r="GP790" s="10"/>
      <c r="GQ790" s="10"/>
      <c r="GR790" s="10"/>
      <c r="GS790" s="10"/>
      <c r="GT790" s="10"/>
      <c r="GU790" s="10"/>
      <c r="GV790" s="10"/>
      <c r="GW790" s="10"/>
      <c r="GX790" s="10"/>
      <c r="GY790" s="10"/>
      <c r="GZ790" s="10"/>
      <c r="HA790" s="10"/>
      <c r="HB790" s="10"/>
      <c r="HC790" s="10"/>
      <c r="HD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  <c r="GP791" s="10"/>
      <c r="GQ791" s="10"/>
      <c r="GR791" s="10"/>
      <c r="GS791" s="10"/>
      <c r="GT791" s="10"/>
      <c r="GU791" s="10"/>
      <c r="GV791" s="10"/>
      <c r="GW791" s="10"/>
      <c r="GX791" s="10"/>
      <c r="GY791" s="10"/>
      <c r="GZ791" s="10"/>
      <c r="HA791" s="10"/>
      <c r="HB791" s="10"/>
      <c r="HC791" s="10"/>
      <c r="HD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  <c r="GP792" s="10"/>
      <c r="GQ792" s="10"/>
      <c r="GR792" s="10"/>
      <c r="GS792" s="10"/>
      <c r="GT792" s="10"/>
      <c r="GU792" s="10"/>
      <c r="GV792" s="10"/>
      <c r="GW792" s="10"/>
      <c r="GX792" s="10"/>
      <c r="GY792" s="10"/>
      <c r="GZ792" s="10"/>
      <c r="HA792" s="10"/>
      <c r="HB792" s="10"/>
      <c r="HC792" s="10"/>
      <c r="HD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  <c r="GP793" s="10"/>
      <c r="GQ793" s="10"/>
      <c r="GR793" s="10"/>
      <c r="GS793" s="10"/>
      <c r="GT793" s="10"/>
      <c r="GU793" s="10"/>
      <c r="GV793" s="10"/>
      <c r="GW793" s="10"/>
      <c r="GX793" s="10"/>
      <c r="GY793" s="10"/>
      <c r="GZ793" s="10"/>
      <c r="HA793" s="10"/>
      <c r="HB793" s="10"/>
      <c r="HC793" s="10"/>
      <c r="HD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/>
      <c r="GQ794" s="10"/>
      <c r="GR794" s="10"/>
      <c r="GS794" s="10"/>
      <c r="GT794" s="10"/>
      <c r="GU794" s="10"/>
      <c r="GV794" s="10"/>
      <c r="GW794" s="10"/>
      <c r="GX794" s="10"/>
      <c r="GY794" s="10"/>
      <c r="GZ794" s="10"/>
      <c r="HA794" s="10"/>
      <c r="HB794" s="10"/>
      <c r="HC794" s="10"/>
      <c r="HD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/>
      <c r="GQ795" s="10"/>
      <c r="GR795" s="10"/>
      <c r="GS795" s="10"/>
      <c r="GT795" s="10"/>
      <c r="GU795" s="10"/>
      <c r="GV795" s="10"/>
      <c r="GW795" s="10"/>
      <c r="GX795" s="10"/>
      <c r="GY795" s="10"/>
      <c r="GZ795" s="10"/>
      <c r="HA795" s="10"/>
      <c r="HB795" s="10"/>
      <c r="HC795" s="10"/>
      <c r="HD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  <c r="GP796" s="10"/>
      <c r="GQ796" s="10"/>
      <c r="GR796" s="10"/>
      <c r="GS796" s="10"/>
      <c r="GT796" s="10"/>
      <c r="GU796" s="10"/>
      <c r="GV796" s="10"/>
      <c r="GW796" s="10"/>
      <c r="GX796" s="10"/>
      <c r="GY796" s="10"/>
      <c r="GZ796" s="10"/>
      <c r="HA796" s="10"/>
      <c r="HB796" s="10"/>
      <c r="HC796" s="10"/>
      <c r="HD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/>
      <c r="GQ797" s="10"/>
      <c r="GR797" s="10"/>
      <c r="GS797" s="10"/>
      <c r="GT797" s="10"/>
      <c r="GU797" s="10"/>
      <c r="GV797" s="10"/>
      <c r="GW797" s="10"/>
      <c r="GX797" s="10"/>
      <c r="GY797" s="10"/>
      <c r="GZ797" s="10"/>
      <c r="HA797" s="10"/>
      <c r="HB797" s="10"/>
      <c r="HC797" s="10"/>
      <c r="HD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  <c r="GP798" s="10"/>
      <c r="GQ798" s="10"/>
      <c r="GR798" s="10"/>
      <c r="GS798" s="10"/>
      <c r="GT798" s="10"/>
      <c r="GU798" s="10"/>
      <c r="GV798" s="10"/>
      <c r="GW798" s="10"/>
      <c r="GX798" s="10"/>
      <c r="GY798" s="10"/>
      <c r="GZ798" s="10"/>
      <c r="HA798" s="10"/>
      <c r="HB798" s="10"/>
      <c r="HC798" s="10"/>
      <c r="HD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  <c r="GP799" s="10"/>
      <c r="GQ799" s="10"/>
      <c r="GR799" s="10"/>
      <c r="GS799" s="10"/>
      <c r="GT799" s="10"/>
      <c r="GU799" s="10"/>
      <c r="GV799" s="10"/>
      <c r="GW799" s="10"/>
      <c r="GX799" s="10"/>
      <c r="GY799" s="10"/>
      <c r="GZ799" s="10"/>
      <c r="HA799" s="10"/>
      <c r="HB799" s="10"/>
      <c r="HC799" s="10"/>
      <c r="HD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/>
      <c r="GQ800" s="10"/>
      <c r="GR800" s="10"/>
      <c r="GS800" s="10"/>
      <c r="GT800" s="10"/>
      <c r="GU800" s="10"/>
      <c r="GV800" s="10"/>
      <c r="GW800" s="10"/>
      <c r="GX800" s="10"/>
      <c r="GY800" s="10"/>
      <c r="GZ800" s="10"/>
      <c r="HA800" s="10"/>
      <c r="HB800" s="10"/>
      <c r="HC800" s="10"/>
      <c r="HD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/>
      <c r="GQ801" s="10"/>
      <c r="GR801" s="10"/>
      <c r="GS801" s="10"/>
      <c r="GT801" s="10"/>
      <c r="GU801" s="10"/>
      <c r="GV801" s="10"/>
      <c r="GW801" s="10"/>
      <c r="GX801" s="10"/>
      <c r="GY801" s="10"/>
      <c r="GZ801" s="10"/>
      <c r="HA801" s="10"/>
      <c r="HB801" s="10"/>
      <c r="HC801" s="10"/>
      <c r="HD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/>
      <c r="GQ802" s="10"/>
      <c r="GR802" s="10"/>
      <c r="GS802" s="10"/>
      <c r="GT802" s="10"/>
      <c r="GU802" s="10"/>
      <c r="GV802" s="10"/>
      <c r="GW802" s="10"/>
      <c r="GX802" s="10"/>
      <c r="GY802" s="10"/>
      <c r="GZ802" s="10"/>
      <c r="HA802" s="10"/>
      <c r="HB802" s="10"/>
      <c r="HC802" s="10"/>
      <c r="HD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  <c r="GP803" s="10"/>
      <c r="GQ803" s="10"/>
      <c r="GR803" s="10"/>
      <c r="GS803" s="10"/>
      <c r="GT803" s="10"/>
      <c r="GU803" s="10"/>
      <c r="GV803" s="10"/>
      <c r="GW803" s="10"/>
      <c r="GX803" s="10"/>
      <c r="GY803" s="10"/>
      <c r="GZ803" s="10"/>
      <c r="HA803" s="10"/>
      <c r="HB803" s="10"/>
      <c r="HC803" s="10"/>
      <c r="HD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  <c r="GP804" s="10"/>
      <c r="GQ804" s="10"/>
      <c r="GR804" s="10"/>
      <c r="GS804" s="10"/>
      <c r="GT804" s="10"/>
      <c r="GU804" s="10"/>
      <c r="GV804" s="10"/>
      <c r="GW804" s="10"/>
      <c r="GX804" s="10"/>
      <c r="GY804" s="10"/>
      <c r="GZ804" s="10"/>
      <c r="HA804" s="10"/>
      <c r="HB804" s="10"/>
      <c r="HC804" s="10"/>
      <c r="HD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  <c r="GP805" s="10"/>
      <c r="GQ805" s="10"/>
      <c r="GR805" s="10"/>
      <c r="GS805" s="10"/>
      <c r="GT805" s="10"/>
      <c r="GU805" s="10"/>
      <c r="GV805" s="10"/>
      <c r="GW805" s="10"/>
      <c r="GX805" s="10"/>
      <c r="GY805" s="10"/>
      <c r="GZ805" s="10"/>
      <c r="HA805" s="10"/>
      <c r="HB805" s="10"/>
      <c r="HC805" s="10"/>
      <c r="HD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/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/>
      <c r="GQ806" s="10"/>
      <c r="GR806" s="10"/>
      <c r="GS806" s="10"/>
      <c r="GT806" s="10"/>
      <c r="GU806" s="10"/>
      <c r="GV806" s="10"/>
      <c r="GW806" s="10"/>
      <c r="GX806" s="10"/>
      <c r="GY806" s="10"/>
      <c r="GZ806" s="10"/>
      <c r="HA806" s="10"/>
      <c r="HB806" s="10"/>
      <c r="HC806" s="10"/>
      <c r="HD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  <c r="GP807" s="10"/>
      <c r="GQ807" s="10"/>
      <c r="GR807" s="10"/>
      <c r="GS807" s="10"/>
      <c r="GT807" s="10"/>
      <c r="GU807" s="10"/>
      <c r="GV807" s="10"/>
      <c r="GW807" s="10"/>
      <c r="GX807" s="10"/>
      <c r="GY807" s="10"/>
      <c r="GZ807" s="10"/>
      <c r="HA807" s="10"/>
      <c r="HB807" s="10"/>
      <c r="HC807" s="10"/>
      <c r="HD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  <c r="GP808" s="10"/>
      <c r="GQ808" s="10"/>
      <c r="GR808" s="10"/>
      <c r="GS808" s="10"/>
      <c r="GT808" s="10"/>
      <c r="GU808" s="10"/>
      <c r="GV808" s="10"/>
      <c r="GW808" s="10"/>
      <c r="GX808" s="10"/>
      <c r="GY808" s="10"/>
      <c r="GZ808" s="10"/>
      <c r="HA808" s="10"/>
      <c r="HB808" s="10"/>
      <c r="HC808" s="10"/>
      <c r="HD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/>
      <c r="FE809" s="10"/>
      <c r="FF809" s="10"/>
      <c r="FG809" s="10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  <c r="GP809" s="10"/>
      <c r="GQ809" s="10"/>
      <c r="GR809" s="10"/>
      <c r="GS809" s="10"/>
      <c r="GT809" s="10"/>
      <c r="GU809" s="10"/>
      <c r="GV809" s="10"/>
      <c r="GW809" s="10"/>
      <c r="GX809" s="10"/>
      <c r="GY809" s="10"/>
      <c r="GZ809" s="10"/>
      <c r="HA809" s="10"/>
      <c r="HB809" s="10"/>
      <c r="HC809" s="10"/>
      <c r="HD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  <c r="GP810" s="10"/>
      <c r="GQ810" s="10"/>
      <c r="GR810" s="10"/>
      <c r="GS810" s="10"/>
      <c r="GT810" s="10"/>
      <c r="GU810" s="10"/>
      <c r="GV810" s="10"/>
      <c r="GW810" s="10"/>
      <c r="GX810" s="10"/>
      <c r="GY810" s="10"/>
      <c r="GZ810" s="10"/>
      <c r="HA810" s="10"/>
      <c r="HB810" s="10"/>
      <c r="HC810" s="10"/>
      <c r="HD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/>
      <c r="EY811" s="10"/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  <c r="GP811" s="10"/>
      <c r="GQ811" s="10"/>
      <c r="GR811" s="10"/>
      <c r="GS811" s="10"/>
      <c r="GT811" s="10"/>
      <c r="GU811" s="10"/>
      <c r="GV811" s="10"/>
      <c r="GW811" s="10"/>
      <c r="GX811" s="10"/>
      <c r="GY811" s="10"/>
      <c r="GZ811" s="10"/>
      <c r="HA811" s="10"/>
      <c r="HB811" s="10"/>
      <c r="HC811" s="10"/>
      <c r="HD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/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  <c r="GP812" s="10"/>
      <c r="GQ812" s="10"/>
      <c r="GR812" s="10"/>
      <c r="GS812" s="10"/>
      <c r="GT812" s="10"/>
      <c r="GU812" s="10"/>
      <c r="GV812" s="10"/>
      <c r="GW812" s="10"/>
      <c r="GX812" s="10"/>
      <c r="GY812" s="10"/>
      <c r="GZ812" s="10"/>
      <c r="HA812" s="10"/>
      <c r="HB812" s="10"/>
      <c r="HC812" s="10"/>
      <c r="HD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/>
      <c r="GQ813" s="10"/>
      <c r="GR813" s="10"/>
      <c r="GS813" s="10"/>
      <c r="GT813" s="10"/>
      <c r="GU813" s="10"/>
      <c r="GV813" s="10"/>
      <c r="GW813" s="10"/>
      <c r="GX813" s="10"/>
      <c r="GY813" s="10"/>
      <c r="GZ813" s="10"/>
      <c r="HA813" s="10"/>
      <c r="HB813" s="10"/>
      <c r="HC813" s="10"/>
      <c r="HD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/>
      <c r="GQ814" s="10"/>
      <c r="GR814" s="10"/>
      <c r="GS814" s="10"/>
      <c r="GT814" s="10"/>
      <c r="GU814" s="10"/>
      <c r="GV814" s="10"/>
      <c r="GW814" s="10"/>
      <c r="GX814" s="10"/>
      <c r="GY814" s="10"/>
      <c r="GZ814" s="10"/>
      <c r="HA814" s="10"/>
      <c r="HB814" s="10"/>
      <c r="HC814" s="10"/>
      <c r="HD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  <c r="GP815" s="10"/>
      <c r="GQ815" s="10"/>
      <c r="GR815" s="10"/>
      <c r="GS815" s="10"/>
      <c r="GT815" s="10"/>
      <c r="GU815" s="10"/>
      <c r="GV815" s="10"/>
      <c r="GW815" s="10"/>
      <c r="GX815" s="10"/>
      <c r="GY815" s="10"/>
      <c r="GZ815" s="10"/>
      <c r="HA815" s="10"/>
      <c r="HB815" s="10"/>
      <c r="HC815" s="10"/>
      <c r="HD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/>
      <c r="GQ816" s="10"/>
      <c r="GR816" s="10"/>
      <c r="GS816" s="10"/>
      <c r="GT816" s="10"/>
      <c r="GU816" s="10"/>
      <c r="GV816" s="10"/>
      <c r="GW816" s="10"/>
      <c r="GX816" s="10"/>
      <c r="GY816" s="10"/>
      <c r="GZ816" s="10"/>
      <c r="HA816" s="10"/>
      <c r="HB816" s="10"/>
      <c r="HC816" s="10"/>
      <c r="HD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  <c r="GP817" s="10"/>
      <c r="GQ817" s="10"/>
      <c r="GR817" s="10"/>
      <c r="GS817" s="10"/>
      <c r="GT817" s="10"/>
      <c r="GU817" s="10"/>
      <c r="GV817" s="10"/>
      <c r="GW817" s="10"/>
      <c r="GX817" s="10"/>
      <c r="GY817" s="10"/>
      <c r="GZ817" s="10"/>
      <c r="HA817" s="10"/>
      <c r="HB817" s="10"/>
      <c r="HC817" s="10"/>
      <c r="HD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  <c r="GP818" s="10"/>
      <c r="GQ818" s="10"/>
      <c r="GR818" s="10"/>
      <c r="GS818" s="10"/>
      <c r="GT818" s="10"/>
      <c r="GU818" s="10"/>
      <c r="GV818" s="10"/>
      <c r="GW818" s="10"/>
      <c r="GX818" s="10"/>
      <c r="GY818" s="10"/>
      <c r="GZ818" s="10"/>
      <c r="HA818" s="10"/>
      <c r="HB818" s="10"/>
      <c r="HC818" s="10"/>
      <c r="HD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  <c r="GP819" s="10"/>
      <c r="GQ819" s="10"/>
      <c r="GR819" s="10"/>
      <c r="GS819" s="10"/>
      <c r="GT819" s="10"/>
      <c r="GU819" s="10"/>
      <c r="GV819" s="10"/>
      <c r="GW819" s="10"/>
      <c r="GX819" s="10"/>
      <c r="GY819" s="10"/>
      <c r="GZ819" s="10"/>
      <c r="HA819" s="10"/>
      <c r="HB819" s="10"/>
      <c r="HC819" s="10"/>
      <c r="HD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  <c r="GP820" s="10"/>
      <c r="GQ820" s="10"/>
      <c r="GR820" s="10"/>
      <c r="GS820" s="10"/>
      <c r="GT820" s="10"/>
      <c r="GU820" s="10"/>
      <c r="GV820" s="10"/>
      <c r="GW820" s="10"/>
      <c r="GX820" s="10"/>
      <c r="GY820" s="10"/>
      <c r="GZ820" s="10"/>
      <c r="HA820" s="10"/>
      <c r="HB820" s="10"/>
      <c r="HC820" s="10"/>
      <c r="HD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/>
      <c r="GQ821" s="10"/>
      <c r="GR821" s="10"/>
      <c r="GS821" s="10"/>
      <c r="GT821" s="10"/>
      <c r="GU821" s="10"/>
      <c r="GV821" s="10"/>
      <c r="GW821" s="10"/>
      <c r="GX821" s="10"/>
      <c r="GY821" s="10"/>
      <c r="GZ821" s="10"/>
      <c r="HA821" s="10"/>
      <c r="HB821" s="10"/>
      <c r="HC821" s="10"/>
      <c r="HD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  <c r="GP822" s="10"/>
      <c r="GQ822" s="10"/>
      <c r="GR822" s="10"/>
      <c r="GS822" s="10"/>
      <c r="GT822" s="10"/>
      <c r="GU822" s="10"/>
      <c r="GV822" s="10"/>
      <c r="GW822" s="10"/>
      <c r="GX822" s="10"/>
      <c r="GY822" s="10"/>
      <c r="GZ822" s="10"/>
      <c r="HA822" s="10"/>
      <c r="HB822" s="10"/>
      <c r="HC822" s="10"/>
      <c r="HD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  <c r="GP823" s="10"/>
      <c r="GQ823" s="10"/>
      <c r="GR823" s="10"/>
      <c r="GS823" s="10"/>
      <c r="GT823" s="10"/>
      <c r="GU823" s="10"/>
      <c r="GV823" s="10"/>
      <c r="GW823" s="10"/>
      <c r="GX823" s="10"/>
      <c r="GY823" s="10"/>
      <c r="GZ823" s="10"/>
      <c r="HA823" s="10"/>
      <c r="HB823" s="10"/>
      <c r="HC823" s="10"/>
      <c r="HD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/>
      <c r="GQ824" s="10"/>
      <c r="GR824" s="10"/>
      <c r="GS824" s="10"/>
      <c r="GT824" s="10"/>
      <c r="GU824" s="10"/>
      <c r="GV824" s="10"/>
      <c r="GW824" s="10"/>
      <c r="GX824" s="10"/>
      <c r="GY824" s="10"/>
      <c r="GZ824" s="10"/>
      <c r="HA824" s="10"/>
      <c r="HB824" s="10"/>
      <c r="HC824" s="10"/>
      <c r="HD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  <c r="GP825" s="10"/>
      <c r="GQ825" s="10"/>
      <c r="GR825" s="10"/>
      <c r="GS825" s="10"/>
      <c r="GT825" s="10"/>
      <c r="GU825" s="10"/>
      <c r="GV825" s="10"/>
      <c r="GW825" s="10"/>
      <c r="GX825" s="10"/>
      <c r="GY825" s="10"/>
      <c r="GZ825" s="10"/>
      <c r="HA825" s="10"/>
      <c r="HB825" s="10"/>
      <c r="HC825" s="10"/>
      <c r="HD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/>
      <c r="GQ826" s="10"/>
      <c r="GR826" s="10"/>
      <c r="GS826" s="10"/>
      <c r="GT826" s="10"/>
      <c r="GU826" s="10"/>
      <c r="GV826" s="10"/>
      <c r="GW826" s="10"/>
      <c r="GX826" s="10"/>
      <c r="GY826" s="10"/>
      <c r="GZ826" s="10"/>
      <c r="HA826" s="10"/>
      <c r="HB826" s="10"/>
      <c r="HC826" s="10"/>
      <c r="HD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  <c r="GP827" s="10"/>
      <c r="GQ827" s="10"/>
      <c r="GR827" s="10"/>
      <c r="GS827" s="10"/>
      <c r="GT827" s="10"/>
      <c r="GU827" s="10"/>
      <c r="GV827" s="10"/>
      <c r="GW827" s="10"/>
      <c r="GX827" s="10"/>
      <c r="GY827" s="10"/>
      <c r="GZ827" s="10"/>
      <c r="HA827" s="10"/>
      <c r="HB827" s="10"/>
      <c r="HC827" s="10"/>
      <c r="HD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/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  <c r="GP828" s="10"/>
      <c r="GQ828" s="10"/>
      <c r="GR828" s="10"/>
      <c r="GS828" s="10"/>
      <c r="GT828" s="10"/>
      <c r="GU828" s="10"/>
      <c r="GV828" s="10"/>
      <c r="GW828" s="10"/>
      <c r="GX828" s="10"/>
      <c r="GY828" s="10"/>
      <c r="GZ828" s="10"/>
      <c r="HA828" s="10"/>
      <c r="HB828" s="10"/>
      <c r="HC828" s="10"/>
      <c r="HD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  <c r="GP829" s="10"/>
      <c r="GQ829" s="10"/>
      <c r="GR829" s="10"/>
      <c r="GS829" s="10"/>
      <c r="GT829" s="10"/>
      <c r="GU829" s="10"/>
      <c r="GV829" s="10"/>
      <c r="GW829" s="10"/>
      <c r="GX829" s="10"/>
      <c r="GY829" s="10"/>
      <c r="GZ829" s="10"/>
      <c r="HA829" s="10"/>
      <c r="HB829" s="10"/>
      <c r="HC829" s="10"/>
      <c r="HD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  <c r="GP830" s="10"/>
      <c r="GQ830" s="10"/>
      <c r="GR830" s="10"/>
      <c r="GS830" s="10"/>
      <c r="GT830" s="10"/>
      <c r="GU830" s="10"/>
      <c r="GV830" s="10"/>
      <c r="GW830" s="10"/>
      <c r="GX830" s="10"/>
      <c r="GY830" s="10"/>
      <c r="GZ830" s="10"/>
      <c r="HA830" s="10"/>
      <c r="HB830" s="10"/>
      <c r="HC830" s="10"/>
      <c r="HD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/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  <c r="GP831" s="10"/>
      <c r="GQ831" s="10"/>
      <c r="GR831" s="10"/>
      <c r="GS831" s="10"/>
      <c r="GT831" s="10"/>
      <c r="GU831" s="10"/>
      <c r="GV831" s="10"/>
      <c r="GW831" s="10"/>
      <c r="GX831" s="10"/>
      <c r="GY831" s="10"/>
      <c r="GZ831" s="10"/>
      <c r="HA831" s="10"/>
      <c r="HB831" s="10"/>
      <c r="HC831" s="10"/>
      <c r="HD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/>
      <c r="GQ832" s="10"/>
      <c r="GR832" s="10"/>
      <c r="GS832" s="10"/>
      <c r="GT832" s="10"/>
      <c r="GU832" s="10"/>
      <c r="GV832" s="10"/>
      <c r="GW832" s="10"/>
      <c r="GX832" s="10"/>
      <c r="GY832" s="10"/>
      <c r="GZ832" s="10"/>
      <c r="HA832" s="10"/>
      <c r="HB832" s="10"/>
      <c r="HC832" s="10"/>
      <c r="HD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  <c r="GP833" s="10"/>
      <c r="GQ833" s="10"/>
      <c r="GR833" s="10"/>
      <c r="GS833" s="10"/>
      <c r="GT833" s="10"/>
      <c r="GU833" s="10"/>
      <c r="GV833" s="10"/>
      <c r="GW833" s="10"/>
      <c r="GX833" s="10"/>
      <c r="GY833" s="10"/>
      <c r="GZ833" s="10"/>
      <c r="HA833" s="10"/>
      <c r="HB833" s="10"/>
      <c r="HC833" s="10"/>
      <c r="HD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/>
      <c r="GQ834" s="10"/>
      <c r="GR834" s="10"/>
      <c r="GS834" s="10"/>
      <c r="GT834" s="10"/>
      <c r="GU834" s="10"/>
      <c r="GV834" s="10"/>
      <c r="GW834" s="10"/>
      <c r="GX834" s="10"/>
      <c r="GY834" s="10"/>
      <c r="GZ834" s="10"/>
      <c r="HA834" s="10"/>
      <c r="HB834" s="10"/>
      <c r="HC834" s="10"/>
      <c r="HD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/>
      <c r="GQ835" s="10"/>
      <c r="GR835" s="10"/>
      <c r="GS835" s="10"/>
      <c r="GT835" s="10"/>
      <c r="GU835" s="10"/>
      <c r="GV835" s="10"/>
      <c r="GW835" s="10"/>
      <c r="GX835" s="10"/>
      <c r="GY835" s="10"/>
      <c r="GZ835" s="10"/>
      <c r="HA835" s="10"/>
      <c r="HB835" s="10"/>
      <c r="HC835" s="10"/>
      <c r="HD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/>
      <c r="GQ836" s="10"/>
      <c r="GR836" s="10"/>
      <c r="GS836" s="10"/>
      <c r="GT836" s="10"/>
      <c r="GU836" s="10"/>
      <c r="GV836" s="10"/>
      <c r="GW836" s="10"/>
      <c r="GX836" s="10"/>
      <c r="GY836" s="10"/>
      <c r="GZ836" s="10"/>
      <c r="HA836" s="10"/>
      <c r="HB836" s="10"/>
      <c r="HC836" s="10"/>
      <c r="HD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/>
      <c r="GQ837" s="10"/>
      <c r="GR837" s="10"/>
      <c r="GS837" s="10"/>
      <c r="GT837" s="10"/>
      <c r="GU837" s="10"/>
      <c r="GV837" s="10"/>
      <c r="GW837" s="10"/>
      <c r="GX837" s="10"/>
      <c r="GY837" s="10"/>
      <c r="GZ837" s="10"/>
      <c r="HA837" s="10"/>
      <c r="HB837" s="10"/>
      <c r="HC837" s="10"/>
      <c r="HD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/>
      <c r="GQ838" s="10"/>
      <c r="GR838" s="10"/>
      <c r="GS838" s="10"/>
      <c r="GT838" s="10"/>
      <c r="GU838" s="10"/>
      <c r="GV838" s="10"/>
      <c r="GW838" s="10"/>
      <c r="GX838" s="10"/>
      <c r="GY838" s="10"/>
      <c r="GZ838" s="10"/>
      <c r="HA838" s="10"/>
      <c r="HB838" s="10"/>
      <c r="HC838" s="10"/>
      <c r="HD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  <c r="GP839" s="10"/>
      <c r="GQ839" s="10"/>
      <c r="GR839" s="10"/>
      <c r="GS839" s="10"/>
      <c r="GT839" s="10"/>
      <c r="GU839" s="10"/>
      <c r="GV839" s="10"/>
      <c r="GW839" s="10"/>
      <c r="GX839" s="10"/>
      <c r="GY839" s="10"/>
      <c r="GZ839" s="10"/>
      <c r="HA839" s="10"/>
      <c r="HB839" s="10"/>
      <c r="HC839" s="10"/>
      <c r="HD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  <c r="GP840" s="10"/>
      <c r="GQ840" s="10"/>
      <c r="GR840" s="10"/>
      <c r="GS840" s="10"/>
      <c r="GT840" s="10"/>
      <c r="GU840" s="10"/>
      <c r="GV840" s="10"/>
      <c r="GW840" s="10"/>
      <c r="GX840" s="10"/>
      <c r="GY840" s="10"/>
      <c r="GZ840" s="10"/>
      <c r="HA840" s="10"/>
      <c r="HB840" s="10"/>
      <c r="HC840" s="10"/>
      <c r="HD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  <c r="GP841" s="10"/>
      <c r="GQ841" s="10"/>
      <c r="GR841" s="10"/>
      <c r="GS841" s="10"/>
      <c r="GT841" s="10"/>
      <c r="GU841" s="10"/>
      <c r="GV841" s="10"/>
      <c r="GW841" s="10"/>
      <c r="GX841" s="10"/>
      <c r="GY841" s="10"/>
      <c r="GZ841" s="10"/>
      <c r="HA841" s="10"/>
      <c r="HB841" s="10"/>
      <c r="HC841" s="10"/>
      <c r="HD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  <c r="GP842" s="10"/>
      <c r="GQ842" s="10"/>
      <c r="GR842" s="10"/>
      <c r="GS842" s="10"/>
      <c r="GT842" s="10"/>
      <c r="GU842" s="10"/>
      <c r="GV842" s="10"/>
      <c r="GW842" s="10"/>
      <c r="GX842" s="10"/>
      <c r="GY842" s="10"/>
      <c r="GZ842" s="10"/>
      <c r="HA842" s="10"/>
      <c r="HB842" s="10"/>
      <c r="HC842" s="10"/>
      <c r="HD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/>
      <c r="GQ843" s="10"/>
      <c r="GR843" s="10"/>
      <c r="GS843" s="10"/>
      <c r="GT843" s="10"/>
      <c r="GU843" s="10"/>
      <c r="GV843" s="10"/>
      <c r="GW843" s="10"/>
      <c r="GX843" s="10"/>
      <c r="GY843" s="10"/>
      <c r="GZ843" s="10"/>
      <c r="HA843" s="10"/>
      <c r="HB843" s="10"/>
      <c r="HC843" s="10"/>
      <c r="HD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  <c r="GP844" s="10"/>
      <c r="GQ844" s="10"/>
      <c r="GR844" s="10"/>
      <c r="GS844" s="10"/>
      <c r="GT844" s="10"/>
      <c r="GU844" s="10"/>
      <c r="GV844" s="10"/>
      <c r="GW844" s="10"/>
      <c r="GX844" s="10"/>
      <c r="GY844" s="10"/>
      <c r="GZ844" s="10"/>
      <c r="HA844" s="10"/>
      <c r="HB844" s="10"/>
      <c r="HC844" s="10"/>
      <c r="HD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  <c r="GP845" s="10"/>
      <c r="GQ845" s="10"/>
      <c r="GR845" s="10"/>
      <c r="GS845" s="10"/>
      <c r="GT845" s="10"/>
      <c r="GU845" s="10"/>
      <c r="GV845" s="10"/>
      <c r="GW845" s="10"/>
      <c r="GX845" s="10"/>
      <c r="GY845" s="10"/>
      <c r="GZ845" s="10"/>
      <c r="HA845" s="10"/>
      <c r="HB845" s="10"/>
      <c r="HC845" s="10"/>
      <c r="HD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  <c r="GP846" s="10"/>
      <c r="GQ846" s="10"/>
      <c r="GR846" s="10"/>
      <c r="GS846" s="10"/>
      <c r="GT846" s="10"/>
      <c r="GU846" s="10"/>
      <c r="GV846" s="10"/>
      <c r="GW846" s="10"/>
      <c r="GX846" s="10"/>
      <c r="GY846" s="10"/>
      <c r="GZ846" s="10"/>
      <c r="HA846" s="10"/>
      <c r="HB846" s="10"/>
      <c r="HC846" s="10"/>
      <c r="HD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/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  <c r="GP847" s="10"/>
      <c r="GQ847" s="10"/>
      <c r="GR847" s="10"/>
      <c r="GS847" s="10"/>
      <c r="GT847" s="10"/>
      <c r="GU847" s="10"/>
      <c r="GV847" s="10"/>
      <c r="GW847" s="10"/>
      <c r="GX847" s="10"/>
      <c r="GY847" s="10"/>
      <c r="GZ847" s="10"/>
      <c r="HA847" s="10"/>
      <c r="HB847" s="10"/>
      <c r="HC847" s="10"/>
      <c r="HD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  <c r="EL848" s="10"/>
      <c r="EM848" s="10"/>
      <c r="EN848" s="10"/>
      <c r="EO848" s="10"/>
      <c r="EP848" s="10"/>
      <c r="EQ848" s="10"/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/>
      <c r="GQ848" s="10"/>
      <c r="GR848" s="10"/>
      <c r="GS848" s="10"/>
      <c r="GT848" s="10"/>
      <c r="GU848" s="10"/>
      <c r="GV848" s="10"/>
      <c r="GW848" s="10"/>
      <c r="GX848" s="10"/>
      <c r="GY848" s="10"/>
      <c r="GZ848" s="10"/>
      <c r="HA848" s="10"/>
      <c r="HB848" s="10"/>
      <c r="HC848" s="10"/>
      <c r="HD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/>
      <c r="GQ849" s="10"/>
      <c r="GR849" s="10"/>
      <c r="GS849" s="10"/>
      <c r="GT849" s="10"/>
      <c r="GU849" s="10"/>
      <c r="GV849" s="10"/>
      <c r="GW849" s="10"/>
      <c r="GX849" s="10"/>
      <c r="GY849" s="10"/>
      <c r="GZ849" s="10"/>
      <c r="HA849" s="10"/>
      <c r="HB849" s="10"/>
      <c r="HC849" s="10"/>
      <c r="HD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/>
      <c r="GQ850" s="10"/>
      <c r="GR850" s="10"/>
      <c r="GS850" s="10"/>
      <c r="GT850" s="10"/>
      <c r="GU850" s="10"/>
      <c r="GV850" s="10"/>
      <c r="GW850" s="10"/>
      <c r="GX850" s="10"/>
      <c r="GY850" s="10"/>
      <c r="GZ850" s="10"/>
      <c r="HA850" s="10"/>
      <c r="HB850" s="10"/>
      <c r="HC850" s="10"/>
      <c r="HD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/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  <c r="GP851" s="10"/>
      <c r="GQ851" s="10"/>
      <c r="GR851" s="10"/>
      <c r="GS851" s="10"/>
      <c r="GT851" s="10"/>
      <c r="GU851" s="10"/>
      <c r="GV851" s="10"/>
      <c r="GW851" s="10"/>
      <c r="GX851" s="10"/>
      <c r="GY851" s="10"/>
      <c r="GZ851" s="10"/>
      <c r="HA851" s="10"/>
      <c r="HB851" s="10"/>
      <c r="HC851" s="10"/>
      <c r="HD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/>
      <c r="GQ852" s="10"/>
      <c r="GR852" s="10"/>
      <c r="GS852" s="10"/>
      <c r="GT852" s="10"/>
      <c r="GU852" s="10"/>
      <c r="GV852" s="10"/>
      <c r="GW852" s="10"/>
      <c r="GX852" s="10"/>
      <c r="GY852" s="10"/>
      <c r="GZ852" s="10"/>
      <c r="HA852" s="10"/>
      <c r="HB852" s="10"/>
      <c r="HC852" s="10"/>
      <c r="HD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  <c r="GP853" s="10"/>
      <c r="GQ853" s="10"/>
      <c r="GR853" s="10"/>
      <c r="GS853" s="10"/>
      <c r="GT853" s="10"/>
      <c r="GU853" s="10"/>
      <c r="GV853" s="10"/>
      <c r="GW853" s="10"/>
      <c r="GX853" s="10"/>
      <c r="GY853" s="10"/>
      <c r="GZ853" s="10"/>
      <c r="HA853" s="10"/>
      <c r="HB853" s="10"/>
      <c r="HC853" s="10"/>
      <c r="HD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/>
      <c r="GH854" s="10"/>
      <c r="GI854" s="10"/>
      <c r="GJ854" s="10"/>
      <c r="GK854" s="10"/>
      <c r="GL854" s="10"/>
      <c r="GM854" s="10"/>
      <c r="GN854" s="10"/>
      <c r="GO854" s="10"/>
      <c r="GP854" s="10"/>
      <c r="GQ854" s="10"/>
      <c r="GR854" s="10"/>
      <c r="GS854" s="10"/>
      <c r="GT854" s="10"/>
      <c r="GU854" s="10"/>
      <c r="GV854" s="10"/>
      <c r="GW854" s="10"/>
      <c r="GX854" s="10"/>
      <c r="GY854" s="10"/>
      <c r="GZ854" s="10"/>
      <c r="HA854" s="10"/>
      <c r="HB854" s="10"/>
      <c r="HC854" s="10"/>
      <c r="HD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/>
      <c r="GQ855" s="10"/>
      <c r="GR855" s="10"/>
      <c r="GS855" s="10"/>
      <c r="GT855" s="10"/>
      <c r="GU855" s="10"/>
      <c r="GV855" s="10"/>
      <c r="GW855" s="10"/>
      <c r="GX855" s="10"/>
      <c r="GY855" s="10"/>
      <c r="GZ855" s="10"/>
      <c r="HA855" s="10"/>
      <c r="HB855" s="10"/>
      <c r="HC855" s="10"/>
      <c r="HD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/>
      <c r="GQ856" s="10"/>
      <c r="GR856" s="10"/>
      <c r="GS856" s="10"/>
      <c r="GT856" s="10"/>
      <c r="GU856" s="10"/>
      <c r="GV856" s="10"/>
      <c r="GW856" s="10"/>
      <c r="GX856" s="10"/>
      <c r="GY856" s="10"/>
      <c r="GZ856" s="10"/>
      <c r="HA856" s="10"/>
      <c r="HB856" s="10"/>
      <c r="HC856" s="10"/>
      <c r="HD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/>
      <c r="GQ857" s="10"/>
      <c r="GR857" s="10"/>
      <c r="GS857" s="10"/>
      <c r="GT857" s="10"/>
      <c r="GU857" s="10"/>
      <c r="GV857" s="10"/>
      <c r="GW857" s="10"/>
      <c r="GX857" s="10"/>
      <c r="GY857" s="10"/>
      <c r="GZ857" s="10"/>
      <c r="HA857" s="10"/>
      <c r="HB857" s="10"/>
      <c r="HC857" s="10"/>
      <c r="HD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/>
      <c r="GQ858" s="10"/>
      <c r="GR858" s="10"/>
      <c r="GS858" s="10"/>
      <c r="GT858" s="10"/>
      <c r="GU858" s="10"/>
      <c r="GV858" s="10"/>
      <c r="GW858" s="10"/>
      <c r="GX858" s="10"/>
      <c r="GY858" s="10"/>
      <c r="GZ858" s="10"/>
      <c r="HA858" s="10"/>
      <c r="HB858" s="10"/>
      <c r="HC858" s="10"/>
      <c r="HD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  <c r="GP859" s="10"/>
      <c r="GQ859" s="10"/>
      <c r="GR859" s="10"/>
      <c r="GS859" s="10"/>
      <c r="GT859" s="10"/>
      <c r="GU859" s="10"/>
      <c r="GV859" s="10"/>
      <c r="GW859" s="10"/>
      <c r="GX859" s="10"/>
      <c r="GY859" s="10"/>
      <c r="GZ859" s="10"/>
      <c r="HA859" s="10"/>
      <c r="HB859" s="10"/>
      <c r="HC859" s="10"/>
      <c r="HD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  <c r="GP860" s="10"/>
      <c r="GQ860" s="10"/>
      <c r="GR860" s="10"/>
      <c r="GS860" s="10"/>
      <c r="GT860" s="10"/>
      <c r="GU860" s="10"/>
      <c r="GV860" s="10"/>
      <c r="GW860" s="10"/>
      <c r="GX860" s="10"/>
      <c r="GY860" s="10"/>
      <c r="GZ860" s="10"/>
      <c r="HA860" s="10"/>
      <c r="HB860" s="10"/>
      <c r="HC860" s="10"/>
      <c r="HD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  <c r="GP861" s="10"/>
      <c r="GQ861" s="10"/>
      <c r="GR861" s="10"/>
      <c r="GS861" s="10"/>
      <c r="GT861" s="10"/>
      <c r="GU861" s="10"/>
      <c r="GV861" s="10"/>
      <c r="GW861" s="10"/>
      <c r="GX861" s="10"/>
      <c r="GY861" s="10"/>
      <c r="GZ861" s="10"/>
      <c r="HA861" s="10"/>
      <c r="HB861" s="10"/>
      <c r="HC861" s="10"/>
      <c r="HD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/>
      <c r="GQ862" s="10"/>
      <c r="GR862" s="10"/>
      <c r="GS862" s="10"/>
      <c r="GT862" s="10"/>
      <c r="GU862" s="10"/>
      <c r="GV862" s="10"/>
      <c r="GW862" s="10"/>
      <c r="GX862" s="10"/>
      <c r="GY862" s="10"/>
      <c r="GZ862" s="10"/>
      <c r="HA862" s="10"/>
      <c r="HB862" s="10"/>
      <c r="HC862" s="10"/>
      <c r="HD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/>
      <c r="GQ863" s="10"/>
      <c r="GR863" s="10"/>
      <c r="GS863" s="10"/>
      <c r="GT863" s="10"/>
      <c r="GU863" s="10"/>
      <c r="GV863" s="10"/>
      <c r="GW863" s="10"/>
      <c r="GX863" s="10"/>
      <c r="GY863" s="10"/>
      <c r="GZ863" s="10"/>
      <c r="HA863" s="10"/>
      <c r="HB863" s="10"/>
      <c r="HC863" s="10"/>
      <c r="HD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/>
      <c r="GQ864" s="10"/>
      <c r="GR864" s="10"/>
      <c r="GS864" s="10"/>
      <c r="GT864" s="10"/>
      <c r="GU864" s="10"/>
      <c r="GV864" s="10"/>
      <c r="GW864" s="10"/>
      <c r="GX864" s="10"/>
      <c r="GY864" s="10"/>
      <c r="GZ864" s="10"/>
      <c r="HA864" s="10"/>
      <c r="HB864" s="10"/>
      <c r="HC864" s="10"/>
      <c r="HD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/>
      <c r="GQ865" s="10"/>
      <c r="GR865" s="10"/>
      <c r="GS865" s="10"/>
      <c r="GT865" s="10"/>
      <c r="GU865" s="10"/>
      <c r="GV865" s="10"/>
      <c r="GW865" s="10"/>
      <c r="GX865" s="10"/>
      <c r="GY865" s="10"/>
      <c r="GZ865" s="10"/>
      <c r="HA865" s="10"/>
      <c r="HB865" s="10"/>
      <c r="HC865" s="10"/>
      <c r="HD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/>
      <c r="GQ866" s="10"/>
      <c r="GR866" s="10"/>
      <c r="GS866" s="10"/>
      <c r="GT866" s="10"/>
      <c r="GU866" s="10"/>
      <c r="GV866" s="10"/>
      <c r="GW866" s="10"/>
      <c r="GX866" s="10"/>
      <c r="GY866" s="10"/>
      <c r="GZ866" s="10"/>
      <c r="HA866" s="10"/>
      <c r="HB866" s="10"/>
      <c r="HC866" s="10"/>
      <c r="HD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/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  <c r="GP867" s="10"/>
      <c r="GQ867" s="10"/>
      <c r="GR867" s="10"/>
      <c r="GS867" s="10"/>
      <c r="GT867" s="10"/>
      <c r="GU867" s="10"/>
      <c r="GV867" s="10"/>
      <c r="GW867" s="10"/>
      <c r="GX867" s="10"/>
      <c r="GY867" s="10"/>
      <c r="GZ867" s="10"/>
      <c r="HA867" s="10"/>
      <c r="HB867" s="10"/>
      <c r="HC867" s="10"/>
      <c r="HD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  <c r="GP868" s="10"/>
      <c r="GQ868" s="10"/>
      <c r="GR868" s="10"/>
      <c r="GS868" s="10"/>
      <c r="GT868" s="10"/>
      <c r="GU868" s="10"/>
      <c r="GV868" s="10"/>
      <c r="GW868" s="10"/>
      <c r="GX868" s="10"/>
      <c r="GY868" s="10"/>
      <c r="GZ868" s="10"/>
      <c r="HA868" s="10"/>
      <c r="HB868" s="10"/>
      <c r="HC868" s="10"/>
      <c r="HD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  <c r="EM869" s="10"/>
      <c r="EN869" s="10"/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  <c r="GP869" s="10"/>
      <c r="GQ869" s="10"/>
      <c r="GR869" s="10"/>
      <c r="GS869" s="10"/>
      <c r="GT869" s="10"/>
      <c r="GU869" s="10"/>
      <c r="GV869" s="10"/>
      <c r="GW869" s="10"/>
      <c r="GX869" s="10"/>
      <c r="GY869" s="10"/>
      <c r="GZ869" s="10"/>
      <c r="HA869" s="10"/>
      <c r="HB869" s="10"/>
      <c r="HC869" s="10"/>
      <c r="HD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/>
      <c r="GQ870" s="10"/>
      <c r="GR870" s="10"/>
      <c r="GS870" s="10"/>
      <c r="GT870" s="10"/>
      <c r="GU870" s="10"/>
      <c r="GV870" s="10"/>
      <c r="GW870" s="10"/>
      <c r="GX870" s="10"/>
      <c r="GY870" s="10"/>
      <c r="GZ870" s="10"/>
      <c r="HA870" s="10"/>
      <c r="HB870" s="10"/>
      <c r="HC870" s="10"/>
      <c r="HD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/>
      <c r="GQ871" s="10"/>
      <c r="GR871" s="10"/>
      <c r="GS871" s="10"/>
      <c r="GT871" s="10"/>
      <c r="GU871" s="10"/>
      <c r="GV871" s="10"/>
      <c r="GW871" s="10"/>
      <c r="GX871" s="10"/>
      <c r="GY871" s="10"/>
      <c r="GZ871" s="10"/>
      <c r="HA871" s="10"/>
      <c r="HB871" s="10"/>
      <c r="HC871" s="10"/>
      <c r="HD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/>
      <c r="GQ872" s="10"/>
      <c r="GR872" s="10"/>
      <c r="GS872" s="10"/>
      <c r="GT872" s="10"/>
      <c r="GU872" s="10"/>
      <c r="GV872" s="10"/>
      <c r="GW872" s="10"/>
      <c r="GX872" s="10"/>
      <c r="GY872" s="10"/>
      <c r="GZ872" s="10"/>
      <c r="HA872" s="10"/>
      <c r="HB872" s="10"/>
      <c r="HC872" s="10"/>
      <c r="HD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  <c r="GP873" s="10"/>
      <c r="GQ873" s="10"/>
      <c r="GR873" s="10"/>
      <c r="GS873" s="10"/>
      <c r="GT873" s="10"/>
      <c r="GU873" s="10"/>
      <c r="GV873" s="10"/>
      <c r="GW873" s="10"/>
      <c r="GX873" s="10"/>
      <c r="GY873" s="10"/>
      <c r="GZ873" s="10"/>
      <c r="HA873" s="10"/>
      <c r="HB873" s="10"/>
      <c r="HC873" s="10"/>
      <c r="HD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/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/>
      <c r="GQ874" s="10"/>
      <c r="GR874" s="10"/>
      <c r="GS874" s="10"/>
      <c r="GT874" s="10"/>
      <c r="GU874" s="10"/>
      <c r="GV874" s="10"/>
      <c r="GW874" s="10"/>
      <c r="GX874" s="10"/>
      <c r="GY874" s="10"/>
      <c r="GZ874" s="10"/>
      <c r="HA874" s="10"/>
      <c r="HB874" s="10"/>
      <c r="HC874" s="10"/>
      <c r="HD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/>
      <c r="GQ875" s="10"/>
      <c r="GR875" s="10"/>
      <c r="GS875" s="10"/>
      <c r="GT875" s="10"/>
      <c r="GU875" s="10"/>
      <c r="GV875" s="10"/>
      <c r="GW875" s="10"/>
      <c r="GX875" s="10"/>
      <c r="GY875" s="10"/>
      <c r="GZ875" s="10"/>
      <c r="HA875" s="10"/>
      <c r="HB875" s="10"/>
      <c r="HC875" s="10"/>
      <c r="HD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/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/>
      <c r="GQ876" s="10"/>
      <c r="GR876" s="10"/>
      <c r="GS876" s="10"/>
      <c r="GT876" s="10"/>
      <c r="GU876" s="10"/>
      <c r="GV876" s="10"/>
      <c r="GW876" s="10"/>
      <c r="GX876" s="10"/>
      <c r="GY876" s="10"/>
      <c r="GZ876" s="10"/>
      <c r="HA876" s="10"/>
      <c r="HB876" s="10"/>
      <c r="HC876" s="10"/>
      <c r="HD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  <c r="GP877" s="10"/>
      <c r="GQ877" s="10"/>
      <c r="GR877" s="10"/>
      <c r="GS877" s="10"/>
      <c r="GT877" s="10"/>
      <c r="GU877" s="10"/>
      <c r="GV877" s="10"/>
      <c r="GW877" s="10"/>
      <c r="GX877" s="10"/>
      <c r="GY877" s="10"/>
      <c r="GZ877" s="10"/>
      <c r="HA877" s="10"/>
      <c r="HB877" s="10"/>
      <c r="HC877" s="10"/>
      <c r="HD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/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/>
      <c r="GQ878" s="10"/>
      <c r="GR878" s="10"/>
      <c r="GS878" s="10"/>
      <c r="GT878" s="10"/>
      <c r="GU878" s="10"/>
      <c r="GV878" s="10"/>
      <c r="GW878" s="10"/>
      <c r="GX878" s="10"/>
      <c r="GY878" s="10"/>
      <c r="GZ878" s="10"/>
      <c r="HA878" s="10"/>
      <c r="HB878" s="10"/>
      <c r="HC878" s="10"/>
      <c r="HD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  <c r="GP879" s="10"/>
      <c r="GQ879" s="10"/>
      <c r="GR879" s="10"/>
      <c r="GS879" s="10"/>
      <c r="GT879" s="10"/>
      <c r="GU879" s="10"/>
      <c r="GV879" s="10"/>
      <c r="GW879" s="10"/>
      <c r="GX879" s="10"/>
      <c r="GY879" s="10"/>
      <c r="GZ879" s="10"/>
      <c r="HA879" s="10"/>
      <c r="HB879" s="10"/>
      <c r="HC879" s="10"/>
      <c r="HD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  <c r="GP880" s="10"/>
      <c r="GQ880" s="10"/>
      <c r="GR880" s="10"/>
      <c r="GS880" s="10"/>
      <c r="GT880" s="10"/>
      <c r="GU880" s="10"/>
      <c r="GV880" s="10"/>
      <c r="GW880" s="10"/>
      <c r="GX880" s="10"/>
      <c r="GY880" s="10"/>
      <c r="GZ880" s="10"/>
      <c r="HA880" s="10"/>
      <c r="HB880" s="10"/>
      <c r="HC880" s="10"/>
      <c r="HD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/>
      <c r="GQ881" s="10"/>
      <c r="GR881" s="10"/>
      <c r="GS881" s="10"/>
      <c r="GT881" s="10"/>
      <c r="GU881" s="10"/>
      <c r="GV881" s="10"/>
      <c r="GW881" s="10"/>
      <c r="GX881" s="10"/>
      <c r="GY881" s="10"/>
      <c r="GZ881" s="10"/>
      <c r="HA881" s="10"/>
      <c r="HB881" s="10"/>
      <c r="HC881" s="10"/>
      <c r="HD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/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/>
      <c r="GQ882" s="10"/>
      <c r="GR882" s="10"/>
      <c r="GS882" s="10"/>
      <c r="GT882" s="10"/>
      <c r="GU882" s="10"/>
      <c r="GV882" s="10"/>
      <c r="GW882" s="10"/>
      <c r="GX882" s="10"/>
      <c r="GY882" s="10"/>
      <c r="GZ882" s="10"/>
      <c r="HA882" s="10"/>
      <c r="HB882" s="10"/>
      <c r="HC882" s="10"/>
      <c r="HD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/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  <c r="GP883" s="10"/>
      <c r="GQ883" s="10"/>
      <c r="GR883" s="10"/>
      <c r="GS883" s="10"/>
      <c r="GT883" s="10"/>
      <c r="GU883" s="10"/>
      <c r="GV883" s="10"/>
      <c r="GW883" s="10"/>
      <c r="GX883" s="10"/>
      <c r="GY883" s="10"/>
      <c r="GZ883" s="10"/>
      <c r="HA883" s="10"/>
      <c r="HB883" s="10"/>
      <c r="HC883" s="10"/>
      <c r="HD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  <c r="GP884" s="10"/>
      <c r="GQ884" s="10"/>
      <c r="GR884" s="10"/>
      <c r="GS884" s="10"/>
      <c r="GT884" s="10"/>
      <c r="GU884" s="10"/>
      <c r="GV884" s="10"/>
      <c r="GW884" s="10"/>
      <c r="GX884" s="10"/>
      <c r="GY884" s="10"/>
      <c r="GZ884" s="10"/>
      <c r="HA884" s="10"/>
      <c r="HB884" s="10"/>
      <c r="HC884" s="10"/>
      <c r="HD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  <c r="GP885" s="10"/>
      <c r="GQ885" s="10"/>
      <c r="GR885" s="10"/>
      <c r="GS885" s="10"/>
      <c r="GT885" s="10"/>
      <c r="GU885" s="10"/>
      <c r="GV885" s="10"/>
      <c r="GW885" s="10"/>
      <c r="GX885" s="10"/>
      <c r="GY885" s="10"/>
      <c r="GZ885" s="10"/>
      <c r="HA885" s="10"/>
      <c r="HB885" s="10"/>
      <c r="HC885" s="10"/>
      <c r="HD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  <c r="GP886" s="10"/>
      <c r="GQ886" s="10"/>
      <c r="GR886" s="10"/>
      <c r="GS886" s="10"/>
      <c r="GT886" s="10"/>
      <c r="GU886" s="10"/>
      <c r="GV886" s="10"/>
      <c r="GW886" s="10"/>
      <c r="GX886" s="10"/>
      <c r="GY886" s="10"/>
      <c r="GZ886" s="10"/>
      <c r="HA886" s="10"/>
      <c r="HB886" s="10"/>
      <c r="HC886" s="10"/>
      <c r="HD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  <c r="GP887" s="10"/>
      <c r="GQ887" s="10"/>
      <c r="GR887" s="10"/>
      <c r="GS887" s="10"/>
      <c r="GT887" s="10"/>
      <c r="GU887" s="10"/>
      <c r="GV887" s="10"/>
      <c r="GW887" s="10"/>
      <c r="GX887" s="10"/>
      <c r="GY887" s="10"/>
      <c r="GZ887" s="10"/>
      <c r="HA887" s="10"/>
      <c r="HB887" s="10"/>
      <c r="HC887" s="10"/>
      <c r="HD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  <c r="GP888" s="10"/>
      <c r="GQ888" s="10"/>
      <c r="GR888" s="10"/>
      <c r="GS888" s="10"/>
      <c r="GT888" s="10"/>
      <c r="GU888" s="10"/>
      <c r="GV888" s="10"/>
      <c r="GW888" s="10"/>
      <c r="GX888" s="10"/>
      <c r="GY888" s="10"/>
      <c r="GZ888" s="10"/>
      <c r="HA888" s="10"/>
      <c r="HB888" s="10"/>
      <c r="HC888" s="10"/>
      <c r="HD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/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  <c r="GP889" s="10"/>
      <c r="GQ889" s="10"/>
      <c r="GR889" s="10"/>
      <c r="GS889" s="10"/>
      <c r="GT889" s="10"/>
      <c r="GU889" s="10"/>
      <c r="GV889" s="10"/>
      <c r="GW889" s="10"/>
      <c r="GX889" s="10"/>
      <c r="GY889" s="10"/>
      <c r="GZ889" s="10"/>
      <c r="HA889" s="10"/>
      <c r="HB889" s="10"/>
      <c r="HC889" s="10"/>
      <c r="HD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  <c r="GP890" s="10"/>
      <c r="GQ890" s="10"/>
      <c r="GR890" s="10"/>
      <c r="GS890" s="10"/>
      <c r="GT890" s="10"/>
      <c r="GU890" s="10"/>
      <c r="GV890" s="10"/>
      <c r="GW890" s="10"/>
      <c r="GX890" s="10"/>
      <c r="GY890" s="10"/>
      <c r="GZ890" s="10"/>
      <c r="HA890" s="10"/>
      <c r="HB890" s="10"/>
      <c r="HC890" s="10"/>
      <c r="HD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  <c r="GP891" s="10"/>
      <c r="GQ891" s="10"/>
      <c r="GR891" s="10"/>
      <c r="GS891" s="10"/>
      <c r="GT891" s="10"/>
      <c r="GU891" s="10"/>
      <c r="GV891" s="10"/>
      <c r="GW891" s="10"/>
      <c r="GX891" s="10"/>
      <c r="GY891" s="10"/>
      <c r="GZ891" s="10"/>
      <c r="HA891" s="10"/>
      <c r="HB891" s="10"/>
      <c r="HC891" s="10"/>
      <c r="HD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  <c r="GP892" s="10"/>
      <c r="GQ892" s="10"/>
      <c r="GR892" s="10"/>
      <c r="GS892" s="10"/>
      <c r="GT892" s="10"/>
      <c r="GU892" s="10"/>
      <c r="GV892" s="10"/>
      <c r="GW892" s="10"/>
      <c r="GX892" s="10"/>
      <c r="GY892" s="10"/>
      <c r="GZ892" s="10"/>
      <c r="HA892" s="10"/>
      <c r="HB892" s="10"/>
      <c r="HC892" s="10"/>
      <c r="HD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/>
      <c r="GQ893" s="10"/>
      <c r="GR893" s="10"/>
      <c r="GS893" s="10"/>
      <c r="GT893" s="10"/>
      <c r="GU893" s="10"/>
      <c r="GV893" s="10"/>
      <c r="GW893" s="10"/>
      <c r="GX893" s="10"/>
      <c r="GY893" s="10"/>
      <c r="GZ893" s="10"/>
      <c r="HA893" s="10"/>
      <c r="HB893" s="10"/>
      <c r="HC893" s="10"/>
      <c r="HD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  <c r="EL894" s="10"/>
      <c r="EM894" s="10"/>
      <c r="EN894" s="10"/>
      <c r="EO894" s="10"/>
      <c r="EP894" s="10"/>
      <c r="EQ894" s="10"/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  <c r="GP894" s="10"/>
      <c r="GQ894" s="10"/>
      <c r="GR894" s="10"/>
      <c r="GS894" s="10"/>
      <c r="GT894" s="10"/>
      <c r="GU894" s="10"/>
      <c r="GV894" s="10"/>
      <c r="GW894" s="10"/>
      <c r="GX894" s="10"/>
      <c r="GY894" s="10"/>
      <c r="GZ894" s="10"/>
      <c r="HA894" s="10"/>
      <c r="HB894" s="10"/>
      <c r="HC894" s="10"/>
      <c r="HD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/>
      <c r="GQ895" s="10"/>
      <c r="GR895" s="10"/>
      <c r="GS895" s="10"/>
      <c r="GT895" s="10"/>
      <c r="GU895" s="10"/>
      <c r="GV895" s="10"/>
      <c r="GW895" s="10"/>
      <c r="GX895" s="10"/>
      <c r="GY895" s="10"/>
      <c r="GZ895" s="10"/>
      <c r="HA895" s="10"/>
      <c r="HB895" s="10"/>
      <c r="HC895" s="10"/>
      <c r="HD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/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  <c r="GP896" s="10"/>
      <c r="GQ896" s="10"/>
      <c r="GR896" s="10"/>
      <c r="GS896" s="10"/>
      <c r="GT896" s="10"/>
      <c r="GU896" s="10"/>
      <c r="GV896" s="10"/>
      <c r="GW896" s="10"/>
      <c r="GX896" s="10"/>
      <c r="GY896" s="10"/>
      <c r="GZ896" s="10"/>
      <c r="HA896" s="10"/>
      <c r="HB896" s="10"/>
      <c r="HC896" s="10"/>
      <c r="HD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  <c r="GP897" s="10"/>
      <c r="GQ897" s="10"/>
      <c r="GR897" s="10"/>
      <c r="GS897" s="10"/>
      <c r="GT897" s="10"/>
      <c r="GU897" s="10"/>
      <c r="GV897" s="10"/>
      <c r="GW897" s="10"/>
      <c r="GX897" s="10"/>
      <c r="GY897" s="10"/>
      <c r="GZ897" s="10"/>
      <c r="HA897" s="10"/>
      <c r="HB897" s="10"/>
      <c r="HC897" s="10"/>
      <c r="HD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  <c r="GP898" s="10"/>
      <c r="GQ898" s="10"/>
      <c r="GR898" s="10"/>
      <c r="GS898" s="10"/>
      <c r="GT898" s="10"/>
      <c r="GU898" s="10"/>
      <c r="GV898" s="10"/>
      <c r="GW898" s="10"/>
      <c r="GX898" s="10"/>
      <c r="GY898" s="10"/>
      <c r="GZ898" s="10"/>
      <c r="HA898" s="10"/>
      <c r="HB898" s="10"/>
      <c r="HC898" s="10"/>
      <c r="HD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  <c r="GP899" s="10"/>
      <c r="GQ899" s="10"/>
      <c r="GR899" s="10"/>
      <c r="GS899" s="10"/>
      <c r="GT899" s="10"/>
      <c r="GU899" s="10"/>
      <c r="GV899" s="10"/>
      <c r="GW899" s="10"/>
      <c r="GX899" s="10"/>
      <c r="GY899" s="10"/>
      <c r="GZ899" s="10"/>
      <c r="HA899" s="10"/>
      <c r="HB899" s="10"/>
      <c r="HC899" s="10"/>
      <c r="HD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/>
      <c r="GQ900" s="10"/>
      <c r="GR900" s="10"/>
      <c r="GS900" s="10"/>
      <c r="GT900" s="10"/>
      <c r="GU900" s="10"/>
      <c r="GV900" s="10"/>
      <c r="GW900" s="10"/>
      <c r="GX900" s="10"/>
      <c r="GY900" s="10"/>
      <c r="GZ900" s="10"/>
      <c r="HA900" s="10"/>
      <c r="HB900" s="10"/>
      <c r="HC900" s="10"/>
      <c r="HD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  <c r="GP901" s="10"/>
      <c r="GQ901" s="10"/>
      <c r="GR901" s="10"/>
      <c r="GS901" s="10"/>
      <c r="GT901" s="10"/>
      <c r="GU901" s="10"/>
      <c r="GV901" s="10"/>
      <c r="GW901" s="10"/>
      <c r="GX901" s="10"/>
      <c r="GY901" s="10"/>
      <c r="GZ901" s="10"/>
      <c r="HA901" s="10"/>
      <c r="HB901" s="10"/>
      <c r="HC901" s="10"/>
      <c r="HD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/>
      <c r="GQ902" s="10"/>
      <c r="GR902" s="10"/>
      <c r="GS902" s="10"/>
      <c r="GT902" s="10"/>
      <c r="GU902" s="10"/>
      <c r="GV902" s="10"/>
      <c r="GW902" s="10"/>
      <c r="GX902" s="10"/>
      <c r="GY902" s="10"/>
      <c r="GZ902" s="10"/>
      <c r="HA902" s="10"/>
      <c r="HB902" s="10"/>
      <c r="HC902" s="10"/>
      <c r="HD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/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/>
      <c r="GQ903" s="10"/>
      <c r="GR903" s="10"/>
      <c r="GS903" s="10"/>
      <c r="GT903" s="10"/>
      <c r="GU903" s="10"/>
      <c r="GV903" s="10"/>
      <c r="GW903" s="10"/>
      <c r="GX903" s="10"/>
      <c r="GY903" s="10"/>
      <c r="GZ903" s="10"/>
      <c r="HA903" s="10"/>
      <c r="HB903" s="10"/>
      <c r="HC903" s="10"/>
      <c r="HD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/>
      <c r="GQ904" s="10"/>
      <c r="GR904" s="10"/>
      <c r="GS904" s="10"/>
      <c r="GT904" s="10"/>
      <c r="GU904" s="10"/>
      <c r="GV904" s="10"/>
      <c r="GW904" s="10"/>
      <c r="GX904" s="10"/>
      <c r="GY904" s="10"/>
      <c r="GZ904" s="10"/>
      <c r="HA904" s="10"/>
      <c r="HB904" s="10"/>
      <c r="HC904" s="10"/>
      <c r="HD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  <c r="GP905" s="10"/>
      <c r="GQ905" s="10"/>
      <c r="GR905" s="10"/>
      <c r="GS905" s="10"/>
      <c r="GT905" s="10"/>
      <c r="GU905" s="10"/>
      <c r="GV905" s="10"/>
      <c r="GW905" s="10"/>
      <c r="GX905" s="10"/>
      <c r="GY905" s="10"/>
      <c r="GZ905" s="10"/>
      <c r="HA905" s="10"/>
      <c r="HB905" s="10"/>
      <c r="HC905" s="10"/>
      <c r="HD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  <c r="GP906" s="10"/>
      <c r="GQ906" s="10"/>
      <c r="GR906" s="10"/>
      <c r="GS906" s="10"/>
      <c r="GT906" s="10"/>
      <c r="GU906" s="10"/>
      <c r="GV906" s="10"/>
      <c r="GW906" s="10"/>
      <c r="GX906" s="10"/>
      <c r="GY906" s="10"/>
      <c r="GZ906" s="10"/>
      <c r="HA906" s="10"/>
      <c r="HB906" s="10"/>
      <c r="HC906" s="10"/>
      <c r="HD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/>
      <c r="GQ907" s="10"/>
      <c r="GR907" s="10"/>
      <c r="GS907" s="10"/>
      <c r="GT907" s="10"/>
      <c r="GU907" s="10"/>
      <c r="GV907" s="10"/>
      <c r="GW907" s="10"/>
      <c r="GX907" s="10"/>
      <c r="GY907" s="10"/>
      <c r="GZ907" s="10"/>
      <c r="HA907" s="10"/>
      <c r="HB907" s="10"/>
      <c r="HC907" s="10"/>
      <c r="HD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  <c r="GP908" s="10"/>
      <c r="GQ908" s="10"/>
      <c r="GR908" s="10"/>
      <c r="GS908" s="10"/>
      <c r="GT908" s="10"/>
      <c r="GU908" s="10"/>
      <c r="GV908" s="10"/>
      <c r="GW908" s="10"/>
      <c r="GX908" s="10"/>
      <c r="GY908" s="10"/>
      <c r="GZ908" s="10"/>
      <c r="HA908" s="10"/>
      <c r="HB908" s="10"/>
      <c r="HC908" s="10"/>
      <c r="HD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  <c r="GP909" s="10"/>
      <c r="GQ909" s="10"/>
      <c r="GR909" s="10"/>
      <c r="GS909" s="10"/>
      <c r="GT909" s="10"/>
      <c r="GU909" s="10"/>
      <c r="GV909" s="10"/>
      <c r="GW909" s="10"/>
      <c r="GX909" s="10"/>
      <c r="GY909" s="10"/>
      <c r="GZ909" s="10"/>
      <c r="HA909" s="10"/>
      <c r="HB909" s="10"/>
      <c r="HC909" s="10"/>
      <c r="HD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  <c r="GP910" s="10"/>
      <c r="GQ910" s="10"/>
      <c r="GR910" s="10"/>
      <c r="GS910" s="10"/>
      <c r="GT910" s="10"/>
      <c r="GU910" s="10"/>
      <c r="GV910" s="10"/>
      <c r="GW910" s="10"/>
      <c r="GX910" s="10"/>
      <c r="GY910" s="10"/>
      <c r="GZ910" s="10"/>
      <c r="HA910" s="10"/>
      <c r="HB910" s="10"/>
      <c r="HC910" s="10"/>
      <c r="HD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  <c r="GP911" s="10"/>
      <c r="GQ911" s="10"/>
      <c r="GR911" s="10"/>
      <c r="GS911" s="10"/>
      <c r="GT911" s="10"/>
      <c r="GU911" s="10"/>
      <c r="GV911" s="10"/>
      <c r="GW911" s="10"/>
      <c r="GX911" s="10"/>
      <c r="GY911" s="10"/>
      <c r="GZ911" s="10"/>
      <c r="HA911" s="10"/>
      <c r="HB911" s="10"/>
      <c r="HC911" s="10"/>
      <c r="HD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  <c r="GP912" s="10"/>
      <c r="GQ912" s="10"/>
      <c r="GR912" s="10"/>
      <c r="GS912" s="10"/>
      <c r="GT912" s="10"/>
      <c r="GU912" s="10"/>
      <c r="GV912" s="10"/>
      <c r="GW912" s="10"/>
      <c r="GX912" s="10"/>
      <c r="GY912" s="10"/>
      <c r="GZ912" s="10"/>
      <c r="HA912" s="10"/>
      <c r="HB912" s="10"/>
      <c r="HC912" s="10"/>
      <c r="HD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/>
      <c r="GQ913" s="10"/>
      <c r="GR913" s="10"/>
      <c r="GS913" s="10"/>
      <c r="GT913" s="10"/>
      <c r="GU913" s="10"/>
      <c r="GV913" s="10"/>
      <c r="GW913" s="10"/>
      <c r="GX913" s="10"/>
      <c r="GY913" s="10"/>
      <c r="GZ913" s="10"/>
      <c r="HA913" s="10"/>
      <c r="HB913" s="10"/>
      <c r="HC913" s="10"/>
      <c r="HD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/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/>
      <c r="GQ914" s="10"/>
      <c r="GR914" s="10"/>
      <c r="GS914" s="10"/>
      <c r="GT914" s="10"/>
      <c r="GU914" s="10"/>
      <c r="GV914" s="10"/>
      <c r="GW914" s="10"/>
      <c r="GX914" s="10"/>
      <c r="GY914" s="10"/>
      <c r="GZ914" s="10"/>
      <c r="HA914" s="10"/>
      <c r="HB914" s="10"/>
      <c r="HC914" s="10"/>
      <c r="HD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  <c r="EL915" s="10"/>
      <c r="EM915" s="10"/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/>
      <c r="GQ915" s="10"/>
      <c r="GR915" s="10"/>
      <c r="GS915" s="10"/>
      <c r="GT915" s="10"/>
      <c r="GU915" s="10"/>
      <c r="GV915" s="10"/>
      <c r="GW915" s="10"/>
      <c r="GX915" s="10"/>
      <c r="GY915" s="10"/>
      <c r="GZ915" s="10"/>
      <c r="HA915" s="10"/>
      <c r="HB915" s="10"/>
      <c r="HC915" s="10"/>
      <c r="HD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/>
      <c r="GQ916" s="10"/>
      <c r="GR916" s="10"/>
      <c r="GS916" s="10"/>
      <c r="GT916" s="10"/>
      <c r="GU916" s="10"/>
      <c r="GV916" s="10"/>
      <c r="GW916" s="10"/>
      <c r="GX916" s="10"/>
      <c r="GY916" s="10"/>
      <c r="GZ916" s="10"/>
      <c r="HA916" s="10"/>
      <c r="HB916" s="10"/>
      <c r="HC916" s="10"/>
      <c r="HD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/>
      <c r="GQ917" s="10"/>
      <c r="GR917" s="10"/>
      <c r="GS917" s="10"/>
      <c r="GT917" s="10"/>
      <c r="GU917" s="10"/>
      <c r="GV917" s="10"/>
      <c r="GW917" s="10"/>
      <c r="GX917" s="10"/>
      <c r="GY917" s="10"/>
      <c r="GZ917" s="10"/>
      <c r="HA917" s="10"/>
      <c r="HB917" s="10"/>
      <c r="HC917" s="10"/>
      <c r="HD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/>
      <c r="GQ918" s="10"/>
      <c r="GR918" s="10"/>
      <c r="GS918" s="10"/>
      <c r="GT918" s="10"/>
      <c r="GU918" s="10"/>
      <c r="GV918" s="10"/>
      <c r="GW918" s="10"/>
      <c r="GX918" s="10"/>
      <c r="GY918" s="10"/>
      <c r="GZ918" s="10"/>
      <c r="HA918" s="10"/>
      <c r="HB918" s="10"/>
      <c r="HC918" s="10"/>
      <c r="HD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/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  <c r="GP919" s="10"/>
      <c r="GQ919" s="10"/>
      <c r="GR919" s="10"/>
      <c r="GS919" s="10"/>
      <c r="GT919" s="10"/>
      <c r="GU919" s="10"/>
      <c r="GV919" s="10"/>
      <c r="GW919" s="10"/>
      <c r="GX919" s="10"/>
      <c r="GY919" s="10"/>
      <c r="GZ919" s="10"/>
      <c r="HA919" s="10"/>
      <c r="HB919" s="10"/>
      <c r="HC919" s="10"/>
      <c r="HD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/>
      <c r="GQ920" s="10"/>
      <c r="GR920" s="10"/>
      <c r="GS920" s="10"/>
      <c r="GT920" s="10"/>
      <c r="GU920" s="10"/>
      <c r="GV920" s="10"/>
      <c r="GW920" s="10"/>
      <c r="GX920" s="10"/>
      <c r="GY920" s="10"/>
      <c r="GZ920" s="10"/>
      <c r="HA920" s="10"/>
      <c r="HB920" s="10"/>
      <c r="HC920" s="10"/>
      <c r="HD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  <c r="EL921" s="10"/>
      <c r="EM921" s="10"/>
      <c r="EN921" s="10"/>
      <c r="EO921" s="10"/>
      <c r="EP921" s="10"/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  <c r="GP921" s="10"/>
      <c r="GQ921" s="10"/>
      <c r="GR921" s="10"/>
      <c r="GS921" s="10"/>
      <c r="GT921" s="10"/>
      <c r="GU921" s="10"/>
      <c r="GV921" s="10"/>
      <c r="GW921" s="10"/>
      <c r="GX921" s="10"/>
      <c r="GY921" s="10"/>
      <c r="GZ921" s="10"/>
      <c r="HA921" s="10"/>
      <c r="HB921" s="10"/>
      <c r="HC921" s="10"/>
      <c r="HD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  <c r="GP922" s="10"/>
      <c r="GQ922" s="10"/>
      <c r="GR922" s="10"/>
      <c r="GS922" s="10"/>
      <c r="GT922" s="10"/>
      <c r="GU922" s="10"/>
      <c r="GV922" s="10"/>
      <c r="GW922" s="10"/>
      <c r="GX922" s="10"/>
      <c r="GY922" s="10"/>
      <c r="GZ922" s="10"/>
      <c r="HA922" s="10"/>
      <c r="HB922" s="10"/>
      <c r="HC922" s="10"/>
      <c r="HD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/>
      <c r="GQ923" s="10"/>
      <c r="GR923" s="10"/>
      <c r="GS923" s="10"/>
      <c r="GT923" s="10"/>
      <c r="GU923" s="10"/>
      <c r="GV923" s="10"/>
      <c r="GW923" s="10"/>
      <c r="GX923" s="10"/>
      <c r="GY923" s="10"/>
      <c r="GZ923" s="10"/>
      <c r="HA923" s="10"/>
      <c r="HB923" s="10"/>
      <c r="HC923" s="10"/>
      <c r="HD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  <c r="GP924" s="10"/>
      <c r="GQ924" s="10"/>
      <c r="GR924" s="10"/>
      <c r="GS924" s="10"/>
      <c r="GT924" s="10"/>
      <c r="GU924" s="10"/>
      <c r="GV924" s="10"/>
      <c r="GW924" s="10"/>
      <c r="GX924" s="10"/>
      <c r="GY924" s="10"/>
      <c r="GZ924" s="10"/>
      <c r="HA924" s="10"/>
      <c r="HB924" s="10"/>
      <c r="HC924" s="10"/>
      <c r="HD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/>
      <c r="GQ925" s="10"/>
      <c r="GR925" s="10"/>
      <c r="GS925" s="10"/>
      <c r="GT925" s="10"/>
      <c r="GU925" s="10"/>
      <c r="GV925" s="10"/>
      <c r="GW925" s="10"/>
      <c r="GX925" s="10"/>
      <c r="GY925" s="10"/>
      <c r="GZ925" s="10"/>
      <c r="HA925" s="10"/>
      <c r="HB925" s="10"/>
      <c r="HC925" s="10"/>
      <c r="HD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/>
      <c r="GQ926" s="10"/>
      <c r="GR926" s="10"/>
      <c r="GS926" s="10"/>
      <c r="GT926" s="10"/>
      <c r="GU926" s="10"/>
      <c r="GV926" s="10"/>
      <c r="GW926" s="10"/>
      <c r="GX926" s="10"/>
      <c r="GY926" s="10"/>
      <c r="GZ926" s="10"/>
      <c r="HA926" s="10"/>
      <c r="HB926" s="10"/>
      <c r="HC926" s="10"/>
      <c r="HD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/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  <c r="GP927" s="10"/>
      <c r="GQ927" s="10"/>
      <c r="GR927" s="10"/>
      <c r="GS927" s="10"/>
      <c r="GT927" s="10"/>
      <c r="GU927" s="10"/>
      <c r="GV927" s="10"/>
      <c r="GW927" s="10"/>
      <c r="GX927" s="10"/>
      <c r="GY927" s="10"/>
      <c r="GZ927" s="10"/>
      <c r="HA927" s="10"/>
      <c r="HB927" s="10"/>
      <c r="HC927" s="10"/>
      <c r="HD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/>
      <c r="GQ928" s="10"/>
      <c r="GR928" s="10"/>
      <c r="GS928" s="10"/>
      <c r="GT928" s="10"/>
      <c r="GU928" s="10"/>
      <c r="GV928" s="10"/>
      <c r="GW928" s="10"/>
      <c r="GX928" s="10"/>
      <c r="GY928" s="10"/>
      <c r="GZ928" s="10"/>
      <c r="HA928" s="10"/>
      <c r="HB928" s="10"/>
      <c r="HC928" s="10"/>
      <c r="HD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/>
      <c r="GQ929" s="10"/>
      <c r="GR929" s="10"/>
      <c r="GS929" s="10"/>
      <c r="GT929" s="10"/>
      <c r="GU929" s="10"/>
      <c r="GV929" s="10"/>
      <c r="GW929" s="10"/>
      <c r="GX929" s="10"/>
      <c r="GY929" s="10"/>
      <c r="GZ929" s="10"/>
      <c r="HA929" s="10"/>
      <c r="HB929" s="10"/>
      <c r="HC929" s="10"/>
      <c r="HD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  <c r="GP930" s="10"/>
      <c r="GQ930" s="10"/>
      <c r="GR930" s="10"/>
      <c r="GS930" s="10"/>
      <c r="GT930" s="10"/>
      <c r="GU930" s="10"/>
      <c r="GV930" s="10"/>
      <c r="GW930" s="10"/>
      <c r="GX930" s="10"/>
      <c r="GY930" s="10"/>
      <c r="GZ930" s="10"/>
      <c r="HA930" s="10"/>
      <c r="HB930" s="10"/>
      <c r="HC930" s="10"/>
      <c r="HD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  <c r="GP931" s="10"/>
      <c r="GQ931" s="10"/>
      <c r="GR931" s="10"/>
      <c r="GS931" s="10"/>
      <c r="GT931" s="10"/>
      <c r="GU931" s="10"/>
      <c r="GV931" s="10"/>
      <c r="GW931" s="10"/>
      <c r="GX931" s="10"/>
      <c r="GY931" s="10"/>
      <c r="GZ931" s="10"/>
      <c r="HA931" s="10"/>
      <c r="HB931" s="10"/>
      <c r="HC931" s="10"/>
      <c r="HD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/>
      <c r="GQ932" s="10"/>
      <c r="GR932" s="10"/>
      <c r="GS932" s="10"/>
      <c r="GT932" s="10"/>
      <c r="GU932" s="10"/>
      <c r="GV932" s="10"/>
      <c r="GW932" s="10"/>
      <c r="GX932" s="10"/>
      <c r="GY932" s="10"/>
      <c r="GZ932" s="10"/>
      <c r="HA932" s="10"/>
      <c r="HB932" s="10"/>
      <c r="HC932" s="10"/>
      <c r="HD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/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/>
      <c r="GQ933" s="10"/>
      <c r="GR933" s="10"/>
      <c r="GS933" s="10"/>
      <c r="GT933" s="10"/>
      <c r="GU933" s="10"/>
      <c r="GV933" s="10"/>
      <c r="GW933" s="10"/>
      <c r="GX933" s="10"/>
      <c r="GY933" s="10"/>
      <c r="GZ933" s="10"/>
      <c r="HA933" s="10"/>
      <c r="HB933" s="10"/>
      <c r="HC933" s="10"/>
      <c r="HD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/>
      <c r="GQ934" s="10"/>
      <c r="GR934" s="10"/>
      <c r="GS934" s="10"/>
      <c r="GT934" s="10"/>
      <c r="GU934" s="10"/>
      <c r="GV934" s="10"/>
      <c r="GW934" s="10"/>
      <c r="GX934" s="10"/>
      <c r="GY934" s="10"/>
      <c r="GZ934" s="10"/>
      <c r="HA934" s="10"/>
      <c r="HB934" s="10"/>
      <c r="HC934" s="10"/>
      <c r="HD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  <c r="EL935" s="10"/>
      <c r="EM935" s="10"/>
      <c r="EN935" s="10"/>
      <c r="EO935" s="10"/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/>
      <c r="FC935" s="10"/>
      <c r="FD935" s="10"/>
      <c r="FE935" s="10"/>
      <c r="FF935" s="10"/>
      <c r="FG935" s="10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  <c r="GP935" s="10"/>
      <c r="GQ935" s="10"/>
      <c r="GR935" s="10"/>
      <c r="GS935" s="10"/>
      <c r="GT935" s="10"/>
      <c r="GU935" s="10"/>
      <c r="GV935" s="10"/>
      <c r="GW935" s="10"/>
      <c r="GX935" s="10"/>
      <c r="GY935" s="10"/>
      <c r="GZ935" s="10"/>
      <c r="HA935" s="10"/>
      <c r="HB935" s="10"/>
      <c r="HC935" s="10"/>
      <c r="HD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  <c r="GP936" s="10"/>
      <c r="GQ936" s="10"/>
      <c r="GR936" s="10"/>
      <c r="GS936" s="10"/>
      <c r="GT936" s="10"/>
      <c r="GU936" s="10"/>
      <c r="GV936" s="10"/>
      <c r="GW936" s="10"/>
      <c r="GX936" s="10"/>
      <c r="GY936" s="10"/>
      <c r="GZ936" s="10"/>
      <c r="HA936" s="10"/>
      <c r="HB936" s="10"/>
      <c r="HC936" s="10"/>
      <c r="HD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  <c r="GP937" s="10"/>
      <c r="GQ937" s="10"/>
      <c r="GR937" s="10"/>
      <c r="GS937" s="10"/>
      <c r="GT937" s="10"/>
      <c r="GU937" s="10"/>
      <c r="GV937" s="10"/>
      <c r="GW937" s="10"/>
      <c r="GX937" s="10"/>
      <c r="GY937" s="10"/>
      <c r="GZ937" s="10"/>
      <c r="HA937" s="10"/>
      <c r="HB937" s="10"/>
      <c r="HC937" s="10"/>
      <c r="HD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/>
      <c r="GQ938" s="10"/>
      <c r="GR938" s="10"/>
      <c r="GS938" s="10"/>
      <c r="GT938" s="10"/>
      <c r="GU938" s="10"/>
      <c r="GV938" s="10"/>
      <c r="GW938" s="10"/>
      <c r="GX938" s="10"/>
      <c r="GY938" s="10"/>
      <c r="GZ938" s="10"/>
      <c r="HA938" s="10"/>
      <c r="HB938" s="10"/>
      <c r="HC938" s="10"/>
      <c r="HD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/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  <c r="GP939" s="10"/>
      <c r="GQ939" s="10"/>
      <c r="GR939" s="10"/>
      <c r="GS939" s="10"/>
      <c r="GT939" s="10"/>
      <c r="GU939" s="10"/>
      <c r="GV939" s="10"/>
      <c r="GW939" s="10"/>
      <c r="GX939" s="10"/>
      <c r="GY939" s="10"/>
      <c r="GZ939" s="10"/>
      <c r="HA939" s="10"/>
      <c r="HB939" s="10"/>
      <c r="HC939" s="10"/>
      <c r="HD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/>
      <c r="GQ940" s="10"/>
      <c r="GR940" s="10"/>
      <c r="GS940" s="10"/>
      <c r="GT940" s="10"/>
      <c r="GU940" s="10"/>
      <c r="GV940" s="10"/>
      <c r="GW940" s="10"/>
      <c r="GX940" s="10"/>
      <c r="GY940" s="10"/>
      <c r="GZ940" s="10"/>
      <c r="HA940" s="10"/>
      <c r="HB940" s="10"/>
      <c r="HC940" s="10"/>
      <c r="HD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  <c r="GP941" s="10"/>
      <c r="GQ941" s="10"/>
      <c r="GR941" s="10"/>
      <c r="GS941" s="10"/>
      <c r="GT941" s="10"/>
      <c r="GU941" s="10"/>
      <c r="GV941" s="10"/>
      <c r="GW941" s="10"/>
      <c r="GX941" s="10"/>
      <c r="GY941" s="10"/>
      <c r="GZ941" s="10"/>
      <c r="HA941" s="10"/>
      <c r="HB941" s="10"/>
      <c r="HC941" s="10"/>
      <c r="HD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  <c r="EM942" s="10"/>
      <c r="EN942" s="10"/>
      <c r="EO942" s="10"/>
      <c r="EP942" s="10"/>
      <c r="EQ942" s="10"/>
      <c r="ER942" s="10"/>
      <c r="ES942" s="10"/>
      <c r="ET942" s="10"/>
      <c r="EU942" s="10"/>
      <c r="EV942" s="10"/>
      <c r="EW942" s="10"/>
      <c r="EX942" s="10"/>
      <c r="EY942" s="10"/>
      <c r="EZ942" s="10"/>
      <c r="FA942" s="10"/>
      <c r="FB942" s="10"/>
      <c r="FC942" s="10"/>
      <c r="FD942" s="10"/>
      <c r="FE942" s="10"/>
      <c r="FF942" s="10"/>
      <c r="FG942" s="10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/>
      <c r="GH942" s="10"/>
      <c r="GI942" s="10"/>
      <c r="GJ942" s="10"/>
      <c r="GK942" s="10"/>
      <c r="GL942" s="10"/>
      <c r="GM942" s="10"/>
      <c r="GN942" s="10"/>
      <c r="GO942" s="10"/>
      <c r="GP942" s="10"/>
      <c r="GQ942" s="10"/>
      <c r="GR942" s="10"/>
      <c r="GS942" s="10"/>
      <c r="GT942" s="10"/>
      <c r="GU942" s="10"/>
      <c r="GV942" s="10"/>
      <c r="GW942" s="10"/>
      <c r="GX942" s="10"/>
      <c r="GY942" s="10"/>
      <c r="GZ942" s="10"/>
      <c r="HA942" s="10"/>
      <c r="HB942" s="10"/>
      <c r="HC942" s="10"/>
      <c r="HD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  <c r="GP943" s="10"/>
      <c r="GQ943" s="10"/>
      <c r="GR943" s="10"/>
      <c r="GS943" s="10"/>
      <c r="GT943" s="10"/>
      <c r="GU943" s="10"/>
      <c r="GV943" s="10"/>
      <c r="GW943" s="10"/>
      <c r="GX943" s="10"/>
      <c r="GY943" s="10"/>
      <c r="GZ943" s="10"/>
      <c r="HA943" s="10"/>
      <c r="HB943" s="10"/>
      <c r="HC943" s="10"/>
      <c r="HD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  <c r="GP944" s="10"/>
      <c r="GQ944" s="10"/>
      <c r="GR944" s="10"/>
      <c r="GS944" s="10"/>
      <c r="GT944" s="10"/>
      <c r="GU944" s="10"/>
      <c r="GV944" s="10"/>
      <c r="GW944" s="10"/>
      <c r="GX944" s="10"/>
      <c r="GY944" s="10"/>
      <c r="GZ944" s="10"/>
      <c r="HA944" s="10"/>
      <c r="HB944" s="10"/>
      <c r="HC944" s="10"/>
      <c r="HD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  <c r="GP945" s="10"/>
      <c r="GQ945" s="10"/>
      <c r="GR945" s="10"/>
      <c r="GS945" s="10"/>
      <c r="GT945" s="10"/>
      <c r="GU945" s="10"/>
      <c r="GV945" s="10"/>
      <c r="GW945" s="10"/>
      <c r="GX945" s="10"/>
      <c r="GY945" s="10"/>
      <c r="GZ945" s="10"/>
      <c r="HA945" s="10"/>
      <c r="HB945" s="10"/>
      <c r="HC945" s="10"/>
      <c r="HD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  <c r="GP946" s="10"/>
      <c r="GQ946" s="10"/>
      <c r="GR946" s="10"/>
      <c r="GS946" s="10"/>
      <c r="GT946" s="10"/>
      <c r="GU946" s="10"/>
      <c r="GV946" s="10"/>
      <c r="GW946" s="10"/>
      <c r="GX946" s="10"/>
      <c r="GY946" s="10"/>
      <c r="GZ946" s="10"/>
      <c r="HA946" s="10"/>
      <c r="HB946" s="10"/>
      <c r="HC946" s="10"/>
      <c r="HD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/>
      <c r="GQ947" s="10"/>
      <c r="GR947" s="10"/>
      <c r="GS947" s="10"/>
      <c r="GT947" s="10"/>
      <c r="GU947" s="10"/>
      <c r="GV947" s="10"/>
      <c r="GW947" s="10"/>
      <c r="GX947" s="10"/>
      <c r="GY947" s="10"/>
      <c r="GZ947" s="10"/>
      <c r="HA947" s="10"/>
      <c r="HB947" s="10"/>
      <c r="HC947" s="10"/>
      <c r="HD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  <c r="GP948" s="10"/>
      <c r="GQ948" s="10"/>
      <c r="GR948" s="10"/>
      <c r="GS948" s="10"/>
      <c r="GT948" s="10"/>
      <c r="GU948" s="10"/>
      <c r="GV948" s="10"/>
      <c r="GW948" s="10"/>
      <c r="GX948" s="10"/>
      <c r="GY948" s="10"/>
      <c r="GZ948" s="10"/>
      <c r="HA948" s="10"/>
      <c r="HB948" s="10"/>
      <c r="HC948" s="10"/>
      <c r="HD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  <c r="GP949" s="10"/>
      <c r="GQ949" s="10"/>
      <c r="GR949" s="10"/>
      <c r="GS949" s="10"/>
      <c r="GT949" s="10"/>
      <c r="GU949" s="10"/>
      <c r="GV949" s="10"/>
      <c r="GW949" s="10"/>
      <c r="GX949" s="10"/>
      <c r="GY949" s="10"/>
      <c r="GZ949" s="10"/>
      <c r="HA949" s="10"/>
      <c r="HB949" s="10"/>
      <c r="HC949" s="10"/>
      <c r="HD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/>
      <c r="GQ950" s="10"/>
      <c r="GR950" s="10"/>
      <c r="GS950" s="10"/>
      <c r="GT950" s="10"/>
      <c r="GU950" s="10"/>
      <c r="GV950" s="10"/>
      <c r="GW950" s="10"/>
      <c r="GX950" s="10"/>
      <c r="GY950" s="10"/>
      <c r="GZ950" s="10"/>
      <c r="HA950" s="10"/>
      <c r="HB950" s="10"/>
      <c r="HC950" s="10"/>
      <c r="HD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/>
      <c r="GQ951" s="10"/>
      <c r="GR951" s="10"/>
      <c r="GS951" s="10"/>
      <c r="GT951" s="10"/>
      <c r="GU951" s="10"/>
      <c r="GV951" s="10"/>
      <c r="GW951" s="10"/>
      <c r="GX951" s="10"/>
      <c r="GY951" s="10"/>
      <c r="GZ951" s="10"/>
      <c r="HA951" s="10"/>
      <c r="HB951" s="10"/>
      <c r="HC951" s="10"/>
      <c r="HD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  <c r="GP952" s="10"/>
      <c r="GQ952" s="10"/>
      <c r="GR952" s="10"/>
      <c r="GS952" s="10"/>
      <c r="GT952" s="10"/>
      <c r="GU952" s="10"/>
      <c r="GV952" s="10"/>
      <c r="GW952" s="10"/>
      <c r="GX952" s="10"/>
      <c r="GY952" s="10"/>
      <c r="GZ952" s="10"/>
      <c r="HA952" s="10"/>
      <c r="HB952" s="10"/>
      <c r="HC952" s="10"/>
      <c r="HD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  <c r="GP953" s="10"/>
      <c r="GQ953" s="10"/>
      <c r="GR953" s="10"/>
      <c r="GS953" s="10"/>
      <c r="GT953" s="10"/>
      <c r="GU953" s="10"/>
      <c r="GV953" s="10"/>
      <c r="GW953" s="10"/>
      <c r="GX953" s="10"/>
      <c r="GY953" s="10"/>
      <c r="GZ953" s="10"/>
      <c r="HA953" s="10"/>
      <c r="HB953" s="10"/>
      <c r="HC953" s="10"/>
      <c r="HD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/>
      <c r="EY954" s="10"/>
      <c r="EZ954" s="10"/>
      <c r="FA954" s="10"/>
      <c r="FB954" s="10"/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/>
      <c r="GQ954" s="10"/>
      <c r="GR954" s="10"/>
      <c r="GS954" s="10"/>
      <c r="GT954" s="10"/>
      <c r="GU954" s="10"/>
      <c r="GV954" s="10"/>
      <c r="GW954" s="10"/>
      <c r="GX954" s="10"/>
      <c r="GY954" s="10"/>
      <c r="GZ954" s="10"/>
      <c r="HA954" s="10"/>
      <c r="HB954" s="10"/>
      <c r="HC954" s="10"/>
      <c r="HD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  <c r="GP955" s="10"/>
      <c r="GQ955" s="10"/>
      <c r="GR955" s="10"/>
      <c r="GS955" s="10"/>
      <c r="GT955" s="10"/>
      <c r="GU955" s="10"/>
      <c r="GV955" s="10"/>
      <c r="GW955" s="10"/>
      <c r="GX955" s="10"/>
      <c r="GY955" s="10"/>
      <c r="GZ955" s="10"/>
      <c r="HA955" s="10"/>
      <c r="HB955" s="10"/>
      <c r="HC955" s="10"/>
      <c r="HD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/>
      <c r="GQ956" s="10"/>
      <c r="GR956" s="10"/>
      <c r="GS956" s="10"/>
      <c r="GT956" s="10"/>
      <c r="GU956" s="10"/>
      <c r="GV956" s="10"/>
      <c r="GW956" s="10"/>
      <c r="GX956" s="10"/>
      <c r="GY956" s="10"/>
      <c r="GZ956" s="10"/>
      <c r="HA956" s="10"/>
      <c r="HB956" s="10"/>
      <c r="HC956" s="10"/>
      <c r="HD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  <c r="EL957" s="10"/>
      <c r="EM957" s="10"/>
      <c r="EN957" s="10"/>
      <c r="EO957" s="10"/>
      <c r="EP957" s="10"/>
      <c r="EQ957" s="10"/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  <c r="GP957" s="10"/>
      <c r="GQ957" s="10"/>
      <c r="GR957" s="10"/>
      <c r="GS957" s="10"/>
      <c r="GT957" s="10"/>
      <c r="GU957" s="10"/>
      <c r="GV957" s="10"/>
      <c r="GW957" s="10"/>
      <c r="GX957" s="10"/>
      <c r="GY957" s="10"/>
      <c r="GZ957" s="10"/>
      <c r="HA957" s="10"/>
      <c r="HB957" s="10"/>
      <c r="HC957" s="10"/>
      <c r="HD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/>
      <c r="GQ958" s="10"/>
      <c r="GR958" s="10"/>
      <c r="GS958" s="10"/>
      <c r="GT958" s="10"/>
      <c r="GU958" s="10"/>
      <c r="GV958" s="10"/>
      <c r="GW958" s="10"/>
      <c r="GX958" s="10"/>
      <c r="GY958" s="10"/>
      <c r="GZ958" s="10"/>
      <c r="HA958" s="10"/>
      <c r="HB958" s="10"/>
      <c r="HC958" s="10"/>
      <c r="HD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  <c r="GP959" s="10"/>
      <c r="GQ959" s="10"/>
      <c r="GR959" s="10"/>
      <c r="GS959" s="10"/>
      <c r="GT959" s="10"/>
      <c r="GU959" s="10"/>
      <c r="GV959" s="10"/>
      <c r="GW959" s="10"/>
      <c r="GX959" s="10"/>
      <c r="GY959" s="10"/>
      <c r="GZ959" s="10"/>
      <c r="HA959" s="10"/>
      <c r="HB959" s="10"/>
      <c r="HC959" s="10"/>
      <c r="HD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  <c r="GP960" s="10"/>
      <c r="GQ960" s="10"/>
      <c r="GR960" s="10"/>
      <c r="GS960" s="10"/>
      <c r="GT960" s="10"/>
      <c r="GU960" s="10"/>
      <c r="GV960" s="10"/>
      <c r="GW960" s="10"/>
      <c r="GX960" s="10"/>
      <c r="GY960" s="10"/>
      <c r="GZ960" s="10"/>
      <c r="HA960" s="10"/>
      <c r="HB960" s="10"/>
      <c r="HC960" s="10"/>
      <c r="HD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  <c r="GP961" s="10"/>
      <c r="GQ961" s="10"/>
      <c r="GR961" s="10"/>
      <c r="GS961" s="10"/>
      <c r="GT961" s="10"/>
      <c r="GU961" s="10"/>
      <c r="GV961" s="10"/>
      <c r="GW961" s="10"/>
      <c r="GX961" s="10"/>
      <c r="GY961" s="10"/>
      <c r="GZ961" s="10"/>
      <c r="HA961" s="10"/>
      <c r="HB961" s="10"/>
      <c r="HC961" s="10"/>
      <c r="HD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/>
      <c r="GQ962" s="10"/>
      <c r="GR962" s="10"/>
      <c r="GS962" s="10"/>
      <c r="GT962" s="10"/>
      <c r="GU962" s="10"/>
      <c r="GV962" s="10"/>
      <c r="GW962" s="10"/>
      <c r="GX962" s="10"/>
      <c r="GY962" s="10"/>
      <c r="GZ962" s="10"/>
      <c r="HA962" s="10"/>
      <c r="HB962" s="10"/>
      <c r="HC962" s="10"/>
      <c r="HD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  <c r="GP963" s="10"/>
      <c r="GQ963" s="10"/>
      <c r="GR963" s="10"/>
      <c r="GS963" s="10"/>
      <c r="GT963" s="10"/>
      <c r="GU963" s="10"/>
      <c r="GV963" s="10"/>
      <c r="GW963" s="10"/>
      <c r="GX963" s="10"/>
      <c r="GY963" s="10"/>
      <c r="GZ963" s="10"/>
      <c r="HA963" s="10"/>
      <c r="HB963" s="10"/>
      <c r="HC963" s="10"/>
      <c r="HD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  <c r="EL964" s="10"/>
      <c r="EM964" s="10"/>
      <c r="EN964" s="10"/>
      <c r="EO964" s="10"/>
      <c r="EP964" s="10"/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/>
      <c r="FE964" s="10"/>
      <c r="FF964" s="10"/>
      <c r="FG964" s="10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  <c r="GP964" s="10"/>
      <c r="GQ964" s="10"/>
      <c r="GR964" s="10"/>
      <c r="GS964" s="10"/>
      <c r="GT964" s="10"/>
      <c r="GU964" s="10"/>
      <c r="GV964" s="10"/>
      <c r="GW964" s="10"/>
      <c r="GX964" s="10"/>
      <c r="GY964" s="10"/>
      <c r="GZ964" s="10"/>
      <c r="HA964" s="10"/>
      <c r="HB964" s="10"/>
      <c r="HC964" s="10"/>
      <c r="HD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  <c r="GQ965" s="10"/>
      <c r="GR965" s="10"/>
      <c r="GS965" s="10"/>
      <c r="GT965" s="10"/>
      <c r="GU965" s="10"/>
      <c r="GV965" s="10"/>
      <c r="GW965" s="10"/>
      <c r="GX965" s="10"/>
      <c r="GY965" s="10"/>
      <c r="GZ965" s="10"/>
      <c r="HA965" s="10"/>
      <c r="HB965" s="10"/>
      <c r="HC965" s="10"/>
      <c r="HD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  <c r="GQ966" s="10"/>
      <c r="GR966" s="10"/>
      <c r="GS966" s="10"/>
      <c r="GT966" s="10"/>
      <c r="GU966" s="10"/>
      <c r="GV966" s="10"/>
      <c r="GW966" s="10"/>
      <c r="GX966" s="10"/>
      <c r="GY966" s="10"/>
      <c r="GZ966" s="10"/>
      <c r="HA966" s="10"/>
      <c r="HB966" s="10"/>
      <c r="HC966" s="10"/>
      <c r="HD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  <c r="GP967" s="10"/>
      <c r="GQ967" s="10"/>
      <c r="GR967" s="10"/>
      <c r="GS967" s="10"/>
      <c r="GT967" s="10"/>
      <c r="GU967" s="10"/>
      <c r="GV967" s="10"/>
      <c r="GW967" s="10"/>
      <c r="GX967" s="10"/>
      <c r="GY967" s="10"/>
      <c r="GZ967" s="10"/>
      <c r="HA967" s="10"/>
      <c r="HB967" s="10"/>
      <c r="HC967" s="10"/>
      <c r="HD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  <c r="GQ968" s="10"/>
      <c r="GR968" s="10"/>
      <c r="GS968" s="10"/>
      <c r="GT968" s="10"/>
      <c r="GU968" s="10"/>
      <c r="GV968" s="10"/>
      <c r="GW968" s="10"/>
      <c r="GX968" s="10"/>
      <c r="GY968" s="10"/>
      <c r="GZ968" s="10"/>
      <c r="HA968" s="10"/>
      <c r="HB968" s="10"/>
      <c r="HC968" s="10"/>
      <c r="HD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  <c r="GQ969" s="10"/>
      <c r="GR969" s="10"/>
      <c r="GS969" s="10"/>
      <c r="GT969" s="10"/>
      <c r="GU969" s="10"/>
      <c r="GV969" s="10"/>
      <c r="GW969" s="10"/>
      <c r="GX969" s="10"/>
      <c r="GY969" s="10"/>
      <c r="GZ969" s="10"/>
      <c r="HA969" s="10"/>
      <c r="HB969" s="10"/>
      <c r="HC969" s="10"/>
      <c r="HD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  <c r="GP970" s="10"/>
      <c r="GQ970" s="10"/>
      <c r="GR970" s="10"/>
      <c r="GS970" s="10"/>
      <c r="GT970" s="10"/>
      <c r="GU970" s="10"/>
      <c r="GV970" s="10"/>
      <c r="GW970" s="10"/>
      <c r="GX970" s="10"/>
      <c r="GY970" s="10"/>
      <c r="GZ970" s="10"/>
      <c r="HA970" s="10"/>
      <c r="HB970" s="10"/>
      <c r="HC970" s="10"/>
      <c r="HD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  <c r="GQ971" s="10"/>
      <c r="GR971" s="10"/>
      <c r="GS971" s="10"/>
      <c r="GT971" s="10"/>
      <c r="GU971" s="10"/>
      <c r="GV971" s="10"/>
      <c r="GW971" s="10"/>
      <c r="GX971" s="10"/>
      <c r="GY971" s="10"/>
      <c r="GZ971" s="10"/>
      <c r="HA971" s="10"/>
      <c r="HB971" s="10"/>
      <c r="HC971" s="10"/>
      <c r="HD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  <c r="GP972" s="10"/>
      <c r="GQ972" s="10"/>
      <c r="GR972" s="10"/>
      <c r="GS972" s="10"/>
      <c r="GT972" s="10"/>
      <c r="GU972" s="10"/>
      <c r="GV972" s="10"/>
      <c r="GW972" s="10"/>
      <c r="GX972" s="10"/>
      <c r="GY972" s="10"/>
      <c r="GZ972" s="10"/>
      <c r="HA972" s="10"/>
      <c r="HB972" s="10"/>
      <c r="HC972" s="10"/>
      <c r="HD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  <c r="GP973" s="10"/>
      <c r="GQ973" s="10"/>
      <c r="GR973" s="10"/>
      <c r="GS973" s="10"/>
      <c r="GT973" s="10"/>
      <c r="GU973" s="10"/>
      <c r="GV973" s="10"/>
      <c r="GW973" s="10"/>
      <c r="GX973" s="10"/>
      <c r="GY973" s="10"/>
      <c r="GZ973" s="10"/>
      <c r="HA973" s="10"/>
      <c r="HB973" s="10"/>
      <c r="HC973" s="10"/>
      <c r="HD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  <c r="GP974" s="10"/>
      <c r="GQ974" s="10"/>
      <c r="GR974" s="10"/>
      <c r="GS974" s="10"/>
      <c r="GT974" s="10"/>
      <c r="GU974" s="10"/>
      <c r="GV974" s="10"/>
      <c r="GW974" s="10"/>
      <c r="GX974" s="10"/>
      <c r="GY974" s="10"/>
      <c r="GZ974" s="10"/>
      <c r="HA974" s="10"/>
      <c r="HB974" s="10"/>
      <c r="HC974" s="10"/>
      <c r="HD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/>
      <c r="GQ975" s="10"/>
      <c r="GR975" s="10"/>
      <c r="GS975" s="10"/>
      <c r="GT975" s="10"/>
      <c r="GU975" s="10"/>
      <c r="GV975" s="10"/>
      <c r="GW975" s="10"/>
      <c r="GX975" s="10"/>
      <c r="GY975" s="10"/>
      <c r="GZ975" s="10"/>
      <c r="HA975" s="10"/>
      <c r="HB975" s="10"/>
      <c r="HC975" s="10"/>
      <c r="HD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/>
      <c r="EN976" s="10"/>
      <c r="EO976" s="10"/>
      <c r="EP976" s="10"/>
      <c r="EQ976" s="10"/>
      <c r="ER976" s="10"/>
      <c r="ES976" s="10"/>
      <c r="ET976" s="10"/>
      <c r="EU976" s="10"/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  <c r="GP976" s="10"/>
      <c r="GQ976" s="10"/>
      <c r="GR976" s="10"/>
      <c r="GS976" s="10"/>
      <c r="GT976" s="10"/>
      <c r="GU976" s="10"/>
      <c r="GV976" s="10"/>
      <c r="GW976" s="10"/>
      <c r="GX976" s="10"/>
      <c r="GY976" s="10"/>
      <c r="GZ976" s="10"/>
      <c r="HA976" s="10"/>
      <c r="HB976" s="10"/>
      <c r="HC976" s="10"/>
      <c r="HD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  <c r="GP977" s="10"/>
      <c r="GQ977" s="10"/>
      <c r="GR977" s="10"/>
      <c r="GS977" s="10"/>
      <c r="GT977" s="10"/>
      <c r="GU977" s="10"/>
      <c r="GV977" s="10"/>
      <c r="GW977" s="10"/>
      <c r="GX977" s="10"/>
      <c r="GY977" s="10"/>
      <c r="GZ977" s="10"/>
      <c r="HA977" s="10"/>
      <c r="HB977" s="10"/>
      <c r="HC977" s="10"/>
      <c r="HD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  <c r="EV978" s="10"/>
      <c r="EW978" s="10"/>
      <c r="EX978" s="10"/>
      <c r="EY978" s="10"/>
      <c r="EZ978" s="10"/>
      <c r="FA978" s="10"/>
      <c r="FB978" s="10"/>
      <c r="FC978" s="10"/>
      <c r="FD978" s="10"/>
      <c r="FE978" s="10"/>
      <c r="FF978" s="10"/>
      <c r="FG978" s="10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  <c r="GB978" s="10"/>
      <c r="GC978" s="10"/>
      <c r="GD978" s="10"/>
      <c r="GE978" s="10"/>
      <c r="GF978" s="10"/>
      <c r="GG978" s="10"/>
      <c r="GH978" s="10"/>
      <c r="GI978" s="10"/>
      <c r="GJ978" s="10"/>
      <c r="GK978" s="10"/>
      <c r="GL978" s="10"/>
      <c r="GM978" s="10"/>
      <c r="GN978" s="10"/>
      <c r="GO978" s="10"/>
      <c r="GP978" s="10"/>
      <c r="GQ978" s="10"/>
      <c r="GR978" s="10"/>
      <c r="GS978" s="10"/>
      <c r="GT978" s="10"/>
      <c r="GU978" s="10"/>
      <c r="GV978" s="10"/>
      <c r="GW978" s="10"/>
      <c r="GX978" s="10"/>
      <c r="GY978" s="10"/>
      <c r="GZ978" s="10"/>
      <c r="HA978" s="10"/>
      <c r="HB978" s="10"/>
      <c r="HC978" s="10"/>
      <c r="HD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  <c r="EV979" s="10"/>
      <c r="EW979" s="10"/>
      <c r="EX979" s="10"/>
      <c r="EY979" s="10"/>
      <c r="EZ979" s="10"/>
      <c r="FA979" s="10"/>
      <c r="FB979" s="10"/>
      <c r="FC979" s="10"/>
      <c r="FD979" s="10"/>
      <c r="FE979" s="10"/>
      <c r="FF979" s="10"/>
      <c r="FG979" s="10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  <c r="GB979" s="10"/>
      <c r="GC979" s="10"/>
      <c r="GD979" s="10"/>
      <c r="GE979" s="10"/>
      <c r="GF979" s="10"/>
      <c r="GG979" s="10"/>
      <c r="GH979" s="10"/>
      <c r="GI979" s="10"/>
      <c r="GJ979" s="10"/>
      <c r="GK979" s="10"/>
      <c r="GL979" s="10"/>
      <c r="GM979" s="10"/>
      <c r="GN979" s="10"/>
      <c r="GO979" s="10"/>
      <c r="GP979" s="10"/>
      <c r="GQ979" s="10"/>
      <c r="GR979" s="10"/>
      <c r="GS979" s="10"/>
      <c r="GT979" s="10"/>
      <c r="GU979" s="10"/>
      <c r="GV979" s="10"/>
      <c r="GW979" s="10"/>
      <c r="GX979" s="10"/>
      <c r="GY979" s="10"/>
      <c r="GZ979" s="10"/>
      <c r="HA979" s="10"/>
      <c r="HB979" s="10"/>
      <c r="HC979" s="10"/>
      <c r="HD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  <c r="EV980" s="10"/>
      <c r="EW980" s="10"/>
      <c r="EX980" s="10"/>
      <c r="EY980" s="10"/>
      <c r="EZ980" s="10"/>
      <c r="FA980" s="10"/>
      <c r="FB980" s="10"/>
      <c r="FC980" s="10"/>
      <c r="FD980" s="10"/>
      <c r="FE980" s="10"/>
      <c r="FF980" s="10"/>
      <c r="FG980" s="10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  <c r="GB980" s="10"/>
      <c r="GC980" s="10"/>
      <c r="GD980" s="10"/>
      <c r="GE980" s="10"/>
      <c r="GF980" s="10"/>
      <c r="GG980" s="10"/>
      <c r="GH980" s="10"/>
      <c r="GI980" s="10"/>
      <c r="GJ980" s="10"/>
      <c r="GK980" s="10"/>
      <c r="GL980" s="10"/>
      <c r="GM980" s="10"/>
      <c r="GN980" s="10"/>
      <c r="GO980" s="10"/>
      <c r="GP980" s="10"/>
      <c r="GQ980" s="10"/>
      <c r="GR980" s="10"/>
      <c r="GS980" s="10"/>
      <c r="GT980" s="10"/>
      <c r="GU980" s="10"/>
      <c r="GV980" s="10"/>
      <c r="GW980" s="10"/>
      <c r="GX980" s="10"/>
      <c r="GY980" s="10"/>
      <c r="GZ980" s="10"/>
      <c r="HA980" s="10"/>
      <c r="HB980" s="10"/>
      <c r="HC980" s="10"/>
      <c r="HD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  <c r="ES981" s="10"/>
      <c r="ET981" s="10"/>
      <c r="EU981" s="10"/>
      <c r="EV981" s="10"/>
      <c r="EW981" s="10"/>
      <c r="EX981" s="10"/>
      <c r="EY981" s="10"/>
      <c r="EZ981" s="10"/>
      <c r="FA981" s="10"/>
      <c r="FB981" s="10"/>
      <c r="FC981" s="10"/>
      <c r="FD981" s="10"/>
      <c r="FE981" s="10"/>
      <c r="FF981" s="10"/>
      <c r="FG981" s="10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  <c r="GB981" s="10"/>
      <c r="GC981" s="10"/>
      <c r="GD981" s="10"/>
      <c r="GE981" s="10"/>
      <c r="GF981" s="10"/>
      <c r="GG981" s="10"/>
      <c r="GH981" s="10"/>
      <c r="GI981" s="10"/>
      <c r="GJ981" s="10"/>
      <c r="GK981" s="10"/>
      <c r="GL981" s="10"/>
      <c r="GM981" s="10"/>
      <c r="GN981" s="10"/>
      <c r="GO981" s="10"/>
      <c r="GP981" s="10"/>
      <c r="GQ981" s="10"/>
      <c r="GR981" s="10"/>
      <c r="GS981" s="10"/>
      <c r="GT981" s="10"/>
      <c r="GU981" s="10"/>
      <c r="GV981" s="10"/>
      <c r="GW981" s="10"/>
      <c r="GX981" s="10"/>
      <c r="GY981" s="10"/>
      <c r="GZ981" s="10"/>
      <c r="HA981" s="10"/>
      <c r="HB981" s="10"/>
      <c r="HC981" s="10"/>
      <c r="HD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  <c r="EM982" s="10"/>
      <c r="EN982" s="10"/>
      <c r="EO982" s="10"/>
      <c r="EP982" s="10"/>
      <c r="EQ982" s="10"/>
      <c r="ER982" s="10"/>
      <c r="ES982" s="10"/>
      <c r="ET982" s="10"/>
      <c r="EU982" s="10"/>
      <c r="EV982" s="10"/>
      <c r="EW982" s="10"/>
      <c r="EX982" s="10"/>
      <c r="EY982" s="10"/>
      <c r="EZ982" s="10"/>
      <c r="FA982" s="10"/>
      <c r="FB982" s="10"/>
      <c r="FC982" s="10"/>
      <c r="FD982" s="10"/>
      <c r="FE982" s="10"/>
      <c r="FF982" s="10"/>
      <c r="FG982" s="10"/>
      <c r="FH982" s="10"/>
      <c r="FI982" s="10"/>
      <c r="FJ982" s="10"/>
      <c r="FK982" s="10"/>
      <c r="FL982" s="10"/>
      <c r="FM982" s="10"/>
      <c r="FN982" s="10"/>
      <c r="FO982" s="10"/>
      <c r="FP982" s="10"/>
      <c r="FQ982" s="10"/>
      <c r="FR982" s="10"/>
      <c r="FS982" s="10"/>
      <c r="FT982" s="10"/>
      <c r="FU982" s="10"/>
      <c r="FV982" s="10"/>
      <c r="FW982" s="10"/>
      <c r="FX982" s="10"/>
      <c r="FY982" s="10"/>
      <c r="FZ982" s="10"/>
      <c r="GA982" s="10"/>
      <c r="GB982" s="10"/>
      <c r="GC982" s="10"/>
      <c r="GD982" s="10"/>
      <c r="GE982" s="10"/>
      <c r="GF982" s="10"/>
      <c r="GG982" s="10"/>
      <c r="GH982" s="10"/>
      <c r="GI982" s="10"/>
      <c r="GJ982" s="10"/>
      <c r="GK982" s="10"/>
      <c r="GL982" s="10"/>
      <c r="GM982" s="10"/>
      <c r="GN982" s="10"/>
      <c r="GO982" s="10"/>
      <c r="GP982" s="10"/>
      <c r="GQ982" s="10"/>
      <c r="GR982" s="10"/>
      <c r="GS982" s="10"/>
      <c r="GT982" s="10"/>
      <c r="GU982" s="10"/>
      <c r="GV982" s="10"/>
      <c r="GW982" s="10"/>
      <c r="GX982" s="10"/>
      <c r="GY982" s="10"/>
      <c r="GZ982" s="10"/>
      <c r="HA982" s="10"/>
      <c r="HB982" s="10"/>
      <c r="HC982" s="10"/>
      <c r="HD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  <c r="EV983" s="10"/>
      <c r="EW983" s="10"/>
      <c r="EX983" s="10"/>
      <c r="EY983" s="10"/>
      <c r="EZ983" s="10"/>
      <c r="FA983" s="10"/>
      <c r="FB983" s="10"/>
      <c r="FC983" s="10"/>
      <c r="FD983" s="10"/>
      <c r="FE983" s="10"/>
      <c r="FF983" s="10"/>
      <c r="FG983" s="10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  <c r="GB983" s="10"/>
      <c r="GC983" s="10"/>
      <c r="GD983" s="10"/>
      <c r="GE983" s="10"/>
      <c r="GF983" s="10"/>
      <c r="GG983" s="10"/>
      <c r="GH983" s="10"/>
      <c r="GI983" s="10"/>
      <c r="GJ983" s="10"/>
      <c r="GK983" s="10"/>
      <c r="GL983" s="10"/>
      <c r="GM983" s="10"/>
      <c r="GN983" s="10"/>
      <c r="GO983" s="10"/>
      <c r="GP983" s="10"/>
      <c r="GQ983" s="10"/>
      <c r="GR983" s="10"/>
      <c r="GS983" s="10"/>
      <c r="GT983" s="10"/>
      <c r="GU983" s="10"/>
      <c r="GV983" s="10"/>
      <c r="GW983" s="10"/>
      <c r="GX983" s="10"/>
      <c r="GY983" s="10"/>
      <c r="GZ983" s="10"/>
      <c r="HA983" s="10"/>
      <c r="HB983" s="10"/>
      <c r="HC983" s="10"/>
      <c r="HD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/>
      <c r="ER984" s="10"/>
      <c r="ES984" s="10"/>
      <c r="ET984" s="10"/>
      <c r="EU984" s="10"/>
      <c r="EV984" s="10"/>
      <c r="EW984" s="10"/>
      <c r="EX984" s="10"/>
      <c r="EY984" s="10"/>
      <c r="EZ984" s="10"/>
      <c r="FA984" s="10"/>
      <c r="FB984" s="10"/>
      <c r="FC984" s="10"/>
      <c r="FD984" s="10"/>
      <c r="FE984" s="10"/>
      <c r="FF984" s="10"/>
      <c r="FG984" s="10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  <c r="GB984" s="10"/>
      <c r="GC984" s="10"/>
      <c r="GD984" s="10"/>
      <c r="GE984" s="10"/>
      <c r="GF984" s="10"/>
      <c r="GG984" s="10"/>
      <c r="GH984" s="10"/>
      <c r="GI984" s="10"/>
      <c r="GJ984" s="10"/>
      <c r="GK984" s="10"/>
      <c r="GL984" s="10"/>
      <c r="GM984" s="10"/>
      <c r="GN984" s="10"/>
      <c r="GO984" s="10"/>
      <c r="GP984" s="10"/>
      <c r="GQ984" s="10"/>
      <c r="GR984" s="10"/>
      <c r="GS984" s="10"/>
      <c r="GT984" s="10"/>
      <c r="GU984" s="10"/>
      <c r="GV984" s="10"/>
      <c r="GW984" s="10"/>
      <c r="GX984" s="10"/>
      <c r="GY984" s="10"/>
      <c r="GZ984" s="10"/>
      <c r="HA984" s="10"/>
      <c r="HB984" s="10"/>
      <c r="HC984" s="10"/>
      <c r="HD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  <c r="GP985" s="10"/>
      <c r="GQ985" s="10"/>
      <c r="GR985" s="10"/>
      <c r="GS985" s="10"/>
      <c r="GT985" s="10"/>
      <c r="GU985" s="10"/>
      <c r="GV985" s="10"/>
      <c r="GW985" s="10"/>
      <c r="GX985" s="10"/>
      <c r="GY985" s="10"/>
      <c r="GZ985" s="10"/>
      <c r="HA985" s="10"/>
      <c r="HB985" s="10"/>
      <c r="HC985" s="10"/>
      <c r="HD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  <c r="EV986" s="10"/>
      <c r="EW986" s="10"/>
      <c r="EX986" s="10"/>
      <c r="EY986" s="10"/>
      <c r="EZ986" s="10"/>
      <c r="FA986" s="10"/>
      <c r="FB986" s="10"/>
      <c r="FC986" s="10"/>
      <c r="FD986" s="10"/>
      <c r="FE986" s="10"/>
      <c r="FF986" s="10"/>
      <c r="FG986" s="10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  <c r="GB986" s="10"/>
      <c r="GC986" s="10"/>
      <c r="GD986" s="10"/>
      <c r="GE986" s="10"/>
      <c r="GF986" s="10"/>
      <c r="GG986" s="10"/>
      <c r="GH986" s="10"/>
      <c r="GI986" s="10"/>
      <c r="GJ986" s="10"/>
      <c r="GK986" s="10"/>
      <c r="GL986" s="10"/>
      <c r="GM986" s="10"/>
      <c r="GN986" s="10"/>
      <c r="GO986" s="10"/>
      <c r="GP986" s="10"/>
      <c r="GQ986" s="10"/>
      <c r="GR986" s="10"/>
      <c r="GS986" s="10"/>
      <c r="GT986" s="10"/>
      <c r="GU986" s="10"/>
      <c r="GV986" s="10"/>
      <c r="GW986" s="10"/>
      <c r="GX986" s="10"/>
      <c r="GY986" s="10"/>
      <c r="GZ986" s="10"/>
      <c r="HA986" s="10"/>
      <c r="HB986" s="10"/>
      <c r="HC986" s="10"/>
      <c r="HD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/>
      <c r="EU987" s="10"/>
      <c r="EV987" s="10"/>
      <c r="EW987" s="10"/>
      <c r="EX987" s="10"/>
      <c r="EY987" s="10"/>
      <c r="EZ987" s="10"/>
      <c r="FA987" s="10"/>
      <c r="FB987" s="10"/>
      <c r="FC987" s="10"/>
      <c r="FD987" s="10"/>
      <c r="FE987" s="10"/>
      <c r="FF987" s="10"/>
      <c r="FG987" s="10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  <c r="GB987" s="10"/>
      <c r="GC987" s="10"/>
      <c r="GD987" s="10"/>
      <c r="GE987" s="10"/>
      <c r="GF987" s="10"/>
      <c r="GG987" s="10"/>
      <c r="GH987" s="10"/>
      <c r="GI987" s="10"/>
      <c r="GJ987" s="10"/>
      <c r="GK987" s="10"/>
      <c r="GL987" s="10"/>
      <c r="GM987" s="10"/>
      <c r="GN987" s="10"/>
      <c r="GO987" s="10"/>
      <c r="GP987" s="10"/>
      <c r="GQ987" s="10"/>
      <c r="GR987" s="10"/>
      <c r="GS987" s="10"/>
      <c r="GT987" s="10"/>
      <c r="GU987" s="10"/>
      <c r="GV987" s="10"/>
      <c r="GW987" s="10"/>
      <c r="GX987" s="10"/>
      <c r="GY987" s="10"/>
      <c r="GZ987" s="10"/>
      <c r="HA987" s="10"/>
      <c r="HB987" s="10"/>
      <c r="HC987" s="10"/>
      <c r="HD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/>
      <c r="EU988" s="10"/>
      <c r="EV988" s="10"/>
      <c r="EW988" s="10"/>
      <c r="EX988" s="10"/>
      <c r="EY988" s="10"/>
      <c r="EZ988" s="10"/>
      <c r="FA988" s="10"/>
      <c r="FB988" s="10"/>
      <c r="FC988" s="10"/>
      <c r="FD988" s="10"/>
      <c r="FE988" s="10"/>
      <c r="FF988" s="10"/>
      <c r="FG988" s="10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  <c r="GB988" s="10"/>
      <c r="GC988" s="10"/>
      <c r="GD988" s="10"/>
      <c r="GE988" s="10"/>
      <c r="GF988" s="10"/>
      <c r="GG988" s="10"/>
      <c r="GH988" s="10"/>
      <c r="GI988" s="10"/>
      <c r="GJ988" s="10"/>
      <c r="GK988" s="10"/>
      <c r="GL988" s="10"/>
      <c r="GM988" s="10"/>
      <c r="GN988" s="10"/>
      <c r="GO988" s="10"/>
      <c r="GP988" s="10"/>
      <c r="GQ988" s="10"/>
      <c r="GR988" s="10"/>
      <c r="GS988" s="10"/>
      <c r="GT988" s="10"/>
      <c r="GU988" s="10"/>
      <c r="GV988" s="10"/>
      <c r="GW988" s="10"/>
      <c r="GX988" s="10"/>
      <c r="GY988" s="10"/>
      <c r="GZ988" s="10"/>
      <c r="HA988" s="10"/>
      <c r="HB988" s="10"/>
      <c r="HC988" s="10"/>
      <c r="HD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  <c r="ES989" s="10"/>
      <c r="ET989" s="10"/>
      <c r="EU989" s="10"/>
      <c r="EV989" s="10"/>
      <c r="EW989" s="10"/>
      <c r="EX989" s="10"/>
      <c r="EY989" s="10"/>
      <c r="EZ989" s="10"/>
      <c r="FA989" s="10"/>
      <c r="FB989" s="10"/>
      <c r="FC989" s="10"/>
      <c r="FD989" s="10"/>
      <c r="FE989" s="10"/>
      <c r="FF989" s="10"/>
      <c r="FG989" s="10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  <c r="GB989" s="10"/>
      <c r="GC989" s="10"/>
      <c r="GD989" s="10"/>
      <c r="GE989" s="10"/>
      <c r="GF989" s="10"/>
      <c r="GG989" s="10"/>
      <c r="GH989" s="10"/>
      <c r="GI989" s="10"/>
      <c r="GJ989" s="10"/>
      <c r="GK989" s="10"/>
      <c r="GL989" s="10"/>
      <c r="GM989" s="10"/>
      <c r="GN989" s="10"/>
      <c r="GO989" s="10"/>
      <c r="GP989" s="10"/>
      <c r="GQ989" s="10"/>
      <c r="GR989" s="10"/>
      <c r="GS989" s="10"/>
      <c r="GT989" s="10"/>
      <c r="GU989" s="10"/>
      <c r="GV989" s="10"/>
      <c r="GW989" s="10"/>
      <c r="GX989" s="10"/>
      <c r="GY989" s="10"/>
      <c r="GZ989" s="10"/>
      <c r="HA989" s="10"/>
      <c r="HB989" s="10"/>
      <c r="HC989" s="10"/>
      <c r="HD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  <c r="ES990" s="10"/>
      <c r="ET990" s="10"/>
      <c r="EU990" s="10"/>
      <c r="EV990" s="10"/>
      <c r="EW990" s="10"/>
      <c r="EX990" s="10"/>
      <c r="EY990" s="10"/>
      <c r="EZ990" s="10"/>
      <c r="FA990" s="10"/>
      <c r="FB990" s="10"/>
      <c r="FC990" s="10"/>
      <c r="FD990" s="10"/>
      <c r="FE990" s="10"/>
      <c r="FF990" s="10"/>
      <c r="FG990" s="10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  <c r="GB990" s="10"/>
      <c r="GC990" s="10"/>
      <c r="GD990" s="10"/>
      <c r="GE990" s="10"/>
      <c r="GF990" s="10"/>
      <c r="GG990" s="10"/>
      <c r="GH990" s="10"/>
      <c r="GI990" s="10"/>
      <c r="GJ990" s="10"/>
      <c r="GK990" s="10"/>
      <c r="GL990" s="10"/>
      <c r="GM990" s="10"/>
      <c r="GN990" s="10"/>
      <c r="GO990" s="10"/>
      <c r="GP990" s="10"/>
      <c r="GQ990" s="10"/>
      <c r="GR990" s="10"/>
      <c r="GS990" s="10"/>
      <c r="GT990" s="10"/>
      <c r="GU990" s="10"/>
      <c r="GV990" s="10"/>
      <c r="GW990" s="10"/>
      <c r="GX990" s="10"/>
      <c r="GY990" s="10"/>
      <c r="GZ990" s="10"/>
      <c r="HA990" s="10"/>
      <c r="HB990" s="10"/>
      <c r="HC990" s="10"/>
      <c r="HD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  <c r="ES991" s="10"/>
      <c r="ET991" s="10"/>
      <c r="EU991" s="10"/>
      <c r="EV991" s="10"/>
      <c r="EW991" s="10"/>
      <c r="EX991" s="10"/>
      <c r="EY991" s="10"/>
      <c r="EZ991" s="10"/>
      <c r="FA991" s="10"/>
      <c r="FB991" s="10"/>
      <c r="FC991" s="10"/>
      <c r="FD991" s="10"/>
      <c r="FE991" s="10"/>
      <c r="FF991" s="10"/>
      <c r="FG991" s="10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  <c r="GB991" s="10"/>
      <c r="GC991" s="10"/>
      <c r="GD991" s="10"/>
      <c r="GE991" s="10"/>
      <c r="GF991" s="10"/>
      <c r="GG991" s="10"/>
      <c r="GH991" s="10"/>
      <c r="GI991" s="10"/>
      <c r="GJ991" s="10"/>
      <c r="GK991" s="10"/>
      <c r="GL991" s="10"/>
      <c r="GM991" s="10"/>
      <c r="GN991" s="10"/>
      <c r="GO991" s="10"/>
      <c r="GP991" s="10"/>
      <c r="GQ991" s="10"/>
      <c r="GR991" s="10"/>
      <c r="GS991" s="10"/>
      <c r="GT991" s="10"/>
      <c r="GU991" s="10"/>
      <c r="GV991" s="10"/>
      <c r="GW991" s="10"/>
      <c r="GX991" s="10"/>
      <c r="GY991" s="10"/>
      <c r="GZ991" s="10"/>
      <c r="HA991" s="10"/>
      <c r="HB991" s="10"/>
      <c r="HC991" s="10"/>
      <c r="HD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  <c r="ES992" s="10"/>
      <c r="ET992" s="10"/>
      <c r="EU992" s="10"/>
      <c r="EV992" s="10"/>
      <c r="EW992" s="10"/>
      <c r="EX992" s="10"/>
      <c r="EY992" s="10"/>
      <c r="EZ992" s="10"/>
      <c r="FA992" s="10"/>
      <c r="FB992" s="10"/>
      <c r="FC992" s="10"/>
      <c r="FD992" s="10"/>
      <c r="FE992" s="10"/>
      <c r="FF992" s="10"/>
      <c r="FG992" s="10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  <c r="GB992" s="10"/>
      <c r="GC992" s="10"/>
      <c r="GD992" s="10"/>
      <c r="GE992" s="10"/>
      <c r="GF992" s="10"/>
      <c r="GG992" s="10"/>
      <c r="GH992" s="10"/>
      <c r="GI992" s="10"/>
      <c r="GJ992" s="10"/>
      <c r="GK992" s="10"/>
      <c r="GL992" s="10"/>
      <c r="GM992" s="10"/>
      <c r="GN992" s="10"/>
      <c r="GO992" s="10"/>
      <c r="GP992" s="10"/>
      <c r="GQ992" s="10"/>
      <c r="GR992" s="10"/>
      <c r="GS992" s="10"/>
      <c r="GT992" s="10"/>
      <c r="GU992" s="10"/>
      <c r="GV992" s="10"/>
      <c r="GW992" s="10"/>
      <c r="GX992" s="10"/>
      <c r="GY992" s="10"/>
      <c r="GZ992" s="10"/>
      <c r="HA992" s="10"/>
      <c r="HB992" s="10"/>
      <c r="HC992" s="10"/>
      <c r="HD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/>
      <c r="EQ993" s="10"/>
      <c r="ER993" s="10"/>
      <c r="ES993" s="10"/>
      <c r="ET993" s="10"/>
      <c r="EU993" s="10"/>
      <c r="EV993" s="10"/>
      <c r="EW993" s="10"/>
      <c r="EX993" s="10"/>
      <c r="EY993" s="10"/>
      <c r="EZ993" s="10"/>
      <c r="FA993" s="10"/>
      <c r="FB993" s="10"/>
      <c r="FC993" s="10"/>
      <c r="FD993" s="10"/>
      <c r="FE993" s="10"/>
      <c r="FF993" s="10"/>
      <c r="FG993" s="10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  <c r="GB993" s="10"/>
      <c r="GC993" s="10"/>
      <c r="GD993" s="10"/>
      <c r="GE993" s="10"/>
      <c r="GF993" s="10"/>
      <c r="GG993" s="10"/>
      <c r="GH993" s="10"/>
      <c r="GI993" s="10"/>
      <c r="GJ993" s="10"/>
      <c r="GK993" s="10"/>
      <c r="GL993" s="10"/>
      <c r="GM993" s="10"/>
      <c r="GN993" s="10"/>
      <c r="GO993" s="10"/>
      <c r="GP993" s="10"/>
      <c r="GQ993" s="10"/>
      <c r="GR993" s="10"/>
      <c r="GS993" s="10"/>
      <c r="GT993" s="10"/>
      <c r="GU993" s="10"/>
      <c r="GV993" s="10"/>
      <c r="GW993" s="10"/>
      <c r="GX993" s="10"/>
      <c r="GY993" s="10"/>
      <c r="GZ993" s="10"/>
      <c r="HA993" s="10"/>
      <c r="HB993" s="10"/>
      <c r="HC993" s="10"/>
      <c r="HD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/>
      <c r="EO994" s="10"/>
      <c r="EP994" s="10"/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/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  <c r="GP994" s="10"/>
      <c r="GQ994" s="10"/>
      <c r="GR994" s="10"/>
      <c r="GS994" s="10"/>
      <c r="GT994" s="10"/>
      <c r="GU994" s="10"/>
      <c r="GV994" s="10"/>
      <c r="GW994" s="10"/>
      <c r="GX994" s="10"/>
      <c r="GY994" s="10"/>
      <c r="GZ994" s="10"/>
      <c r="HA994" s="10"/>
      <c r="HB994" s="10"/>
      <c r="HC994" s="10"/>
      <c r="HD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  <c r="ES995" s="10"/>
      <c r="ET995" s="10"/>
      <c r="EU995" s="10"/>
      <c r="EV995" s="10"/>
      <c r="EW995" s="10"/>
      <c r="EX995" s="10"/>
      <c r="EY995" s="10"/>
      <c r="EZ995" s="10"/>
      <c r="FA995" s="10"/>
      <c r="FB995" s="10"/>
      <c r="FC995" s="10"/>
      <c r="FD995" s="10"/>
      <c r="FE995" s="10"/>
      <c r="FF995" s="10"/>
      <c r="FG995" s="10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  <c r="GB995" s="10"/>
      <c r="GC995" s="10"/>
      <c r="GD995" s="10"/>
      <c r="GE995" s="10"/>
      <c r="GF995" s="10"/>
      <c r="GG995" s="10"/>
      <c r="GH995" s="10"/>
      <c r="GI995" s="10"/>
      <c r="GJ995" s="10"/>
      <c r="GK995" s="10"/>
      <c r="GL995" s="10"/>
      <c r="GM995" s="10"/>
      <c r="GN995" s="10"/>
      <c r="GO995" s="10"/>
      <c r="GP995" s="10"/>
      <c r="GQ995" s="10"/>
      <c r="GR995" s="10"/>
      <c r="GS995" s="10"/>
      <c r="GT995" s="10"/>
      <c r="GU995" s="10"/>
      <c r="GV995" s="10"/>
      <c r="GW995" s="10"/>
      <c r="GX995" s="10"/>
      <c r="GY995" s="10"/>
      <c r="GZ995" s="10"/>
      <c r="HA995" s="10"/>
      <c r="HB995" s="10"/>
      <c r="HC995" s="10"/>
      <c r="HD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  <c r="EL996" s="10"/>
      <c r="EM996" s="10"/>
      <c r="EN996" s="10"/>
      <c r="EO996" s="10"/>
      <c r="EP996" s="10"/>
      <c r="EQ996" s="10"/>
      <c r="ER996" s="10"/>
      <c r="ES996" s="10"/>
      <c r="ET996" s="10"/>
      <c r="EU996" s="10"/>
      <c r="EV996" s="10"/>
      <c r="EW996" s="10"/>
      <c r="EX996" s="10"/>
      <c r="EY996" s="10"/>
      <c r="EZ996" s="10"/>
      <c r="FA996" s="10"/>
      <c r="FB996" s="10"/>
      <c r="FC996" s="10"/>
      <c r="FD996" s="10"/>
      <c r="FE996" s="10"/>
      <c r="FF996" s="10"/>
      <c r="FG996" s="10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/>
      <c r="FR996" s="10"/>
      <c r="FS996" s="10"/>
      <c r="FT996" s="10"/>
      <c r="FU996" s="10"/>
      <c r="FV996" s="10"/>
      <c r="FW996" s="10"/>
      <c r="FX996" s="10"/>
      <c r="FY996" s="10"/>
      <c r="FZ996" s="10"/>
      <c r="GA996" s="10"/>
      <c r="GB996" s="10"/>
      <c r="GC996" s="10"/>
      <c r="GD996" s="10"/>
      <c r="GE996" s="10"/>
      <c r="GF996" s="10"/>
      <c r="GG996" s="10"/>
      <c r="GH996" s="10"/>
      <c r="GI996" s="10"/>
      <c r="GJ996" s="10"/>
      <c r="GK996" s="10"/>
      <c r="GL996" s="10"/>
      <c r="GM996" s="10"/>
      <c r="GN996" s="10"/>
      <c r="GO996" s="10"/>
      <c r="GP996" s="10"/>
      <c r="GQ996" s="10"/>
      <c r="GR996" s="10"/>
      <c r="GS996" s="10"/>
      <c r="GT996" s="10"/>
      <c r="GU996" s="10"/>
      <c r="GV996" s="10"/>
      <c r="GW996" s="10"/>
      <c r="GX996" s="10"/>
      <c r="GY996" s="10"/>
      <c r="GZ996" s="10"/>
      <c r="HA996" s="10"/>
      <c r="HB996" s="10"/>
      <c r="HC996" s="10"/>
      <c r="HD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  <c r="GP997" s="10"/>
      <c r="GQ997" s="10"/>
      <c r="GR997" s="10"/>
      <c r="GS997" s="10"/>
      <c r="GT997" s="10"/>
      <c r="GU997" s="10"/>
      <c r="GV997" s="10"/>
      <c r="GW997" s="10"/>
      <c r="GX997" s="10"/>
      <c r="GY997" s="10"/>
      <c r="GZ997" s="10"/>
      <c r="HA997" s="10"/>
      <c r="HB997" s="10"/>
      <c r="HC997" s="10"/>
      <c r="HD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  <c r="EV998" s="10"/>
      <c r="EW998" s="10"/>
      <c r="EX998" s="10"/>
      <c r="EY998" s="10"/>
      <c r="EZ998" s="10"/>
      <c r="FA998" s="10"/>
      <c r="FB998" s="10"/>
      <c r="FC998" s="10"/>
      <c r="FD998" s="10"/>
      <c r="FE998" s="10"/>
      <c r="FF998" s="10"/>
      <c r="FG998" s="10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  <c r="GB998" s="10"/>
      <c r="GC998" s="10"/>
      <c r="GD998" s="10"/>
      <c r="GE998" s="10"/>
      <c r="GF998" s="10"/>
      <c r="GG998" s="10"/>
      <c r="GH998" s="10"/>
      <c r="GI998" s="10"/>
      <c r="GJ998" s="10"/>
      <c r="GK998" s="10"/>
      <c r="GL998" s="10"/>
      <c r="GM998" s="10"/>
      <c r="GN998" s="10"/>
      <c r="GO998" s="10"/>
      <c r="GP998" s="10"/>
      <c r="GQ998" s="10"/>
      <c r="GR998" s="10"/>
      <c r="GS998" s="10"/>
      <c r="GT998" s="10"/>
      <c r="GU998" s="10"/>
      <c r="GV998" s="10"/>
      <c r="GW998" s="10"/>
      <c r="GX998" s="10"/>
      <c r="GY998" s="10"/>
      <c r="GZ998" s="10"/>
      <c r="HA998" s="10"/>
      <c r="HB998" s="10"/>
      <c r="HC998" s="10"/>
      <c r="HD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  <c r="EV999" s="10"/>
      <c r="EW999" s="10"/>
      <c r="EX999" s="10"/>
      <c r="EY999" s="10"/>
      <c r="EZ999" s="10"/>
      <c r="FA999" s="10"/>
      <c r="FB999" s="10"/>
      <c r="FC999" s="10"/>
      <c r="FD999" s="10"/>
      <c r="FE999" s="10"/>
      <c r="FF999" s="10"/>
      <c r="FG999" s="10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  <c r="GB999" s="10"/>
      <c r="GC999" s="10"/>
      <c r="GD999" s="10"/>
      <c r="GE999" s="10"/>
      <c r="GF999" s="10"/>
      <c r="GG999" s="10"/>
      <c r="GH999" s="10"/>
      <c r="GI999" s="10"/>
      <c r="GJ999" s="10"/>
      <c r="GK999" s="10"/>
      <c r="GL999" s="10"/>
      <c r="GM999" s="10"/>
      <c r="GN999" s="10"/>
      <c r="GO999" s="10"/>
      <c r="GP999" s="10"/>
      <c r="GQ999" s="10"/>
      <c r="GR999" s="10"/>
      <c r="GS999" s="10"/>
      <c r="GT999" s="10"/>
      <c r="GU999" s="10"/>
      <c r="GV999" s="10"/>
      <c r="GW999" s="10"/>
      <c r="GX999" s="10"/>
      <c r="GY999" s="10"/>
      <c r="GZ999" s="10"/>
      <c r="HA999" s="10"/>
      <c r="HB999" s="10"/>
      <c r="HC999" s="10"/>
      <c r="HD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  <c r="EM1000" s="10"/>
      <c r="EN1000" s="10"/>
      <c r="EO1000" s="10"/>
      <c r="EP1000" s="10"/>
      <c r="EQ1000" s="10"/>
      <c r="ER1000" s="10"/>
      <c r="ES1000" s="10"/>
      <c r="ET1000" s="10"/>
      <c r="EU1000" s="10"/>
      <c r="EV1000" s="10"/>
      <c r="EW1000" s="10"/>
      <c r="EX1000" s="10"/>
      <c r="EY1000" s="10"/>
      <c r="EZ1000" s="10"/>
      <c r="FA1000" s="10"/>
      <c r="FB1000" s="10"/>
      <c r="FC1000" s="10"/>
      <c r="FD1000" s="10"/>
      <c r="FE1000" s="10"/>
      <c r="FF1000" s="10"/>
      <c r="FG1000" s="10"/>
      <c r="FH1000" s="10"/>
      <c r="FI1000" s="10"/>
      <c r="FJ1000" s="10"/>
      <c r="FK1000" s="10"/>
      <c r="FL1000" s="10"/>
      <c r="FM1000" s="10"/>
      <c r="FN1000" s="10"/>
      <c r="FO1000" s="10"/>
      <c r="FP1000" s="10"/>
      <c r="FQ1000" s="10"/>
      <c r="FR1000" s="10"/>
      <c r="FS1000" s="10"/>
      <c r="FT1000" s="10"/>
      <c r="FU1000" s="10"/>
      <c r="FV1000" s="10"/>
      <c r="FW1000" s="10"/>
      <c r="FX1000" s="10"/>
      <c r="FY1000" s="10"/>
      <c r="FZ1000" s="10"/>
      <c r="GA1000" s="10"/>
      <c r="GB1000" s="10"/>
      <c r="GC1000" s="10"/>
      <c r="GD1000" s="10"/>
      <c r="GE1000" s="10"/>
      <c r="GF1000" s="10"/>
      <c r="GG1000" s="10"/>
      <c r="GH1000" s="10"/>
      <c r="GI1000" s="10"/>
      <c r="GJ1000" s="10"/>
      <c r="GK1000" s="10"/>
      <c r="GL1000" s="10"/>
      <c r="GM1000" s="10"/>
      <c r="GN1000" s="10"/>
      <c r="GO1000" s="10"/>
      <c r="GP1000" s="10"/>
      <c r="GQ1000" s="10"/>
      <c r="GR1000" s="10"/>
      <c r="GS1000" s="10"/>
      <c r="GT1000" s="10"/>
      <c r="GU1000" s="10"/>
      <c r="GV1000" s="10"/>
      <c r="GW1000" s="10"/>
      <c r="GX1000" s="10"/>
      <c r="GY1000" s="10"/>
      <c r="GZ1000" s="10"/>
      <c r="HA1000" s="10"/>
      <c r="HB1000" s="10"/>
      <c r="HC1000" s="10"/>
      <c r="HD1000" s="10"/>
    </row>
  </sheetData>
  <conditionalFormatting sqref="B18:B27">
    <cfRule type="expression" dxfId="0" priority="1">
      <formula>B18&gt;=LARGE(B$18:B$27,5)</formula>
    </cfRule>
  </conditionalFormatting>
  <conditionalFormatting sqref="E32:E35">
    <cfRule type="colorScale" priority="2">
      <colorScale>
        <cfvo type="min"/>
        <cfvo type="percent" val="50"/>
        <cfvo type="max"/>
        <color rgb="FFE67C73"/>
        <color rgb="FFFFFFFF"/>
        <color rgb="FF57BB8A"/>
      </colorScale>
    </cfRule>
  </conditionalFormatting>
  <drawing r:id="rId4"/>
</worksheet>
</file>